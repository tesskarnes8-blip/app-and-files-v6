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4 Billed by Client" sheetId="2" state="visible" r:id="rId2"/>
    <sheet xmlns:r="http://schemas.openxmlformats.org/officeDocument/2006/relationships" name="Methodology &amp; Notes" sheetId="3" state="visible" r:id="rId3"/>
  </sheets>
  <definedNames>
    <definedName name="_xlnm.Print_Titles" localSheetId="1">'Q4 Billed by Client'!$4:$4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_-;-$* #,##0_-;_-$* &quot;-&quot;_-;_-@_-"/>
    <numFmt numFmtId="165" formatCode="_($* #,##0_);_($* (#,##0);_($* &quot;-&quot;_);_(@_)"/>
  </numFmts>
  <fonts count="2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1"/>
    </font>
    <font>
      <name val="Calibri"/>
      <color rgb="00404040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Segoe UI"/>
      <b val="1"/>
      <color rgb="000F172A"/>
      <sz val="20"/>
    </font>
    <font>
      <name val="Segoe UI"/>
      <b val="1"/>
      <color rgb="000284C7"/>
      <sz val="11"/>
    </font>
    <font>
      <name val="Segoe UI"/>
      <color rgb="0064748B"/>
      <sz val="10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0F172A"/>
      <sz val="12"/>
    </font>
    <font>
      <name val="Segoe UI"/>
      <b val="1"/>
      <color rgb="000F172A"/>
      <sz val="18"/>
    </font>
    <font>
      <name val="Segoe UI"/>
      <b val="1"/>
      <color rgb="00FFFFFF"/>
      <sz val="11"/>
    </font>
    <font>
      <name val="Segoe UI"/>
      <b val="1"/>
      <color rgb="000284C7"/>
      <sz val="10"/>
    </font>
    <font>
      <name val="Segoe UI"/>
      <b val="1"/>
      <color rgb="000F172A"/>
      <sz val="14"/>
    </font>
    <font>
      <name val="Segoe UI"/>
      <b val="1"/>
      <color rgb="FF1E40AF"/>
      <sz val="11"/>
    </font>
    <font>
      <name val="Segoe UI"/>
      <color rgb="FF475569"/>
      <sz val="10"/>
    </font>
    <font>
      <name val="Segoe UI"/>
      <b val="1"/>
      <color rgb="FF1E40AF"/>
      <sz val="10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D9E2F3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1E293B"/>
      </left>
      <right style="thin">
        <color rgb="001E293B"/>
      </right>
      <top style="medium">
        <color rgb="000F172A"/>
      </top>
      <bottom style="double">
        <color rgb="00FFFFFF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6" borderId="3" applyAlignment="1" pivotButton="0" quotePrefix="0" xfId="0">
      <alignment horizontal="left" vertical="center" indent="1"/>
    </xf>
    <xf numFmtId="0" fontId="13" fillId="7" borderId="3" applyAlignment="1" pivotButton="0" quotePrefix="0" xfId="0">
      <alignment horizontal="left" vertical="center" indent="1"/>
    </xf>
    <xf numFmtId="0" fontId="13" fillId="7" borderId="3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vertical="bottom"/>
    </xf>
    <xf numFmtId="0" fontId="13" fillId="8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center"/>
    </xf>
    <xf numFmtId="0" fontId="16" fillId="9" borderId="4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right" vertical="center" wrapText="1"/>
    </xf>
    <xf numFmtId="0" fontId="13" fillId="7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left" vertical="center"/>
    </xf>
    <xf numFmtId="165" fontId="13" fillId="7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3" fontId="13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/>
    </xf>
    <xf numFmtId="0" fontId="13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165" fontId="13" fillId="8" borderId="3" applyAlignment="1" pivotButton="0" quotePrefix="0" xfId="0">
      <alignment horizontal="right" vertical="center"/>
    </xf>
    <xf numFmtId="165" fontId="12" fillId="10" borderId="3" applyAlignment="1" pivotButton="0" quotePrefix="0" xfId="0">
      <alignment horizontal="right" vertical="center"/>
    </xf>
    <xf numFmtId="3" fontId="13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/>
    </xf>
    <xf numFmtId="0" fontId="16" fillId="9" borderId="5" applyAlignment="1" pivotButton="0" quotePrefix="0" xfId="0">
      <alignment horizontal="left" vertical="center"/>
    </xf>
    <xf numFmtId="165" fontId="16" fillId="9" borderId="5" applyAlignment="1" pivotButton="0" quotePrefix="0" xfId="0">
      <alignment horizontal="right" vertical="center"/>
    </xf>
    <xf numFmtId="3" fontId="16" fillId="9" borderId="5" applyAlignment="1" pivotButton="0" quotePrefix="0" xfId="0">
      <alignment horizontal="center" vertical="center"/>
    </xf>
    <xf numFmtId="0" fontId="17" fillId="7" borderId="3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bottom"/>
    </xf>
    <xf numFmtId="0" fontId="12" fillId="6" borderId="3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7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 ht="34" customHeight="1">
      <c r="A1" s="22" t="inlineStr">
        <is>
          <t>Finance Q4 2025 Billing Export</t>
        </is>
      </c>
    </row>
    <row r="2" ht="10" customHeight="1"/>
    <row r="3" ht="22" customHeight="1">
      <c r="A3" s="53" t="inlineStr">
        <is>
          <t>Thornfield Life Sciences Marketing, Inc.</t>
        </is>
      </c>
    </row>
    <row r="4" ht="20" customHeight="1">
      <c r="A4" s="54" t="inlineStr">
        <is>
          <t>227 Alexander Drive, Suite 400, Durham, NC 27709</t>
        </is>
      </c>
    </row>
    <row r="5" ht="14" customHeight="1"/>
    <row r="6" ht="26" customHeight="1">
      <c r="A6" s="25" t="inlineStr">
        <is>
          <t>Report</t>
        </is>
      </c>
      <c r="B6" s="26" t="inlineStr">
        <is>
          <t>Finance Q4 2025 Billing Export</t>
        </is>
      </c>
    </row>
    <row r="7" ht="26" customHeight="1">
      <c r="A7" s="25" t="inlineStr">
        <is>
          <t>Period</t>
        </is>
      </c>
      <c r="B7" s="26" t="inlineStr">
        <is>
          <t>Q4 2025 (10/01/2025 – 12/31/2025)</t>
        </is>
      </c>
    </row>
    <row r="8" ht="26" customHeight="1">
      <c r="A8" s="25" t="inlineStr">
        <is>
          <t>Source system</t>
        </is>
      </c>
      <c r="B8" s="26" t="inlineStr">
        <is>
          <t>ERPNext (erp.thornfieldlsm.com), Sales Invoice doctype</t>
        </is>
      </c>
    </row>
    <row r="9" ht="54" customHeight="1">
      <c r="A9" s="25" t="inlineStr">
        <is>
          <t>Extract query</t>
        </is>
      </c>
      <c r="B9" s="27" t="inlineStr">
        <is>
          <t>Sales Invoice → posting_date BETWEEN 2025-10-01 AND 2025-12-31; status IN ('Paid','Unpaid','Overdue','Partly Paid'); grouped by Customer, month(posting_date)</t>
        </is>
      </c>
    </row>
    <row r="10" ht="26" customHeight="1">
      <c r="A10" s="25" t="inlineStr">
        <is>
          <t>Extract run</t>
        </is>
      </c>
      <c r="B10" s="26" t="inlineStr">
        <is>
          <t>01/06/2026 09:14 ET</t>
        </is>
      </c>
    </row>
    <row r="11" ht="26" customHeight="1">
      <c r="A11" s="25" t="inlineStr">
        <is>
          <t>Extract run by</t>
        </is>
      </c>
      <c r="B11" s="26" t="inlineStr">
        <is>
          <t>Alan Rutherford, Finance Director (alan.rutherford@thornfieldlsm.com)</t>
        </is>
      </c>
    </row>
    <row r="12" ht="26" customHeight="1">
      <c r="A12" s="25" t="inlineStr">
        <is>
          <t>Prepared by</t>
        </is>
      </c>
      <c r="B12" s="26" t="inlineStr">
        <is>
          <t>Alan Rutherford, Finance Director</t>
        </is>
      </c>
    </row>
    <row r="13" ht="26" customHeight="1">
      <c r="A13" s="25" t="inlineStr">
        <is>
          <t>Currency</t>
        </is>
      </c>
      <c r="B13" s="26" t="inlineStr">
        <is>
          <t>USD</t>
        </is>
      </c>
    </row>
    <row r="14" ht="26" customHeight="1">
      <c r="A14" s="25" t="inlineStr">
        <is>
          <t>Rows</t>
        </is>
      </c>
      <c r="B14" s="26" t="inlineStr">
        <is>
          <t>40 client rows + Totals</t>
        </is>
      </c>
    </row>
    <row r="15" ht="12" customHeight="1"/>
    <row r="16" ht="12" customHeight="1"/>
    <row r="17" ht="28" customHeight="1">
      <c r="A17" s="28" t="inlineStr">
        <is>
          <t>Notes on this export</t>
        </is>
      </c>
    </row>
    <row r="18" ht="85" customHeight="1">
      <c r="A18" s="29" t="inlineStr">
        <is>
          <t>Figures below are the raw Sales Invoice amounts posted in ERPNext for the Q4 2025 period, grouped by ERPNext Customer and calendar month. This is the pre-adjustment revenue extract used to populate the Finance ledger view; downstream reconciliations (credit / debit notes, marketing-attribution reclassifications, deferred-revenue true-ups) are tracked in separate workpapers and are not netted here.</t>
        </is>
      </c>
      <c r="B18" s="52" t="n"/>
    </row>
  </sheetData>
  <mergeCells count="5">
    <mergeCell ref="A4:B4"/>
    <mergeCell ref="A1:B1"/>
    <mergeCell ref="A17:B17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1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8" customWidth="1" min="4" max="4"/>
    <col width="18" customWidth="1" min="5" max="5"/>
    <col width="22" customWidth="1" min="6" max="6"/>
    <col width="15" customWidth="1" min="7" max="7"/>
    <col width="50" customWidth="1" min="8" max="8"/>
  </cols>
  <sheetData>
    <row r="1" ht="34" customHeight="1">
      <c r="A1" s="30" t="inlineStr">
        <is>
          <t>Q4 2025 Billed Revenue — by Client</t>
        </is>
      </c>
    </row>
    <row r="2" ht="20" customHeight="1">
      <c r="A2" s="54" t="inlineStr">
        <is>
          <t>Thornfield Life Sciences Marketing, Inc. — USD, raw Sales Invoice figures (pre-adjustment)</t>
        </is>
      </c>
    </row>
    <row r="3" ht="14" customHeight="1"/>
    <row r="4" ht="30" customHeight="1">
      <c r="A4" s="31" t="inlineStr">
        <is>
          <t>ERPNext Customer ID</t>
        </is>
      </c>
      <c r="B4" s="32" t="inlineStr">
        <is>
          <t>Client Name</t>
        </is>
      </c>
      <c r="C4" s="33" t="inlineStr">
        <is>
          <t>Oct 2025 Billed</t>
        </is>
      </c>
      <c r="D4" s="33" t="inlineStr">
        <is>
          <t>Nov 2025 Billed</t>
        </is>
      </c>
      <c r="E4" s="33" t="inlineStr">
        <is>
          <t>Dec 2025 Billed</t>
        </is>
      </c>
      <c r="F4" s="33" t="inlineStr">
        <is>
          <t>Q4 2025 Total Billed</t>
        </is>
      </c>
      <c r="G4" s="31" t="inlineStr">
        <is>
          <t>Invoice Count</t>
        </is>
      </c>
      <c r="H4" s="32" t="inlineStr">
        <is>
          <t>Notes</t>
        </is>
      </c>
    </row>
    <row r="5" ht="24" customHeight="1">
      <c r="A5" s="34" t="inlineStr">
        <is>
          <t>CUST-2025-0004</t>
        </is>
      </c>
      <c r="B5" s="35" t="inlineStr">
        <is>
          <t>Pennywell Life Sciences</t>
        </is>
      </c>
      <c r="C5" s="36" t="n">
        <v>12400</v>
      </c>
      <c r="D5" s="36" t="n">
        <v>12400</v>
      </c>
      <c r="E5" s="36" t="n">
        <v>12400</v>
      </c>
      <c r="F5" s="37" t="n">
        <v>37200</v>
      </c>
      <c r="G5" s="38" t="n">
        <v>3</v>
      </c>
      <c r="H5" s="39" t="inlineStr">
        <is>
          <t>Monthly retainer</t>
        </is>
      </c>
    </row>
    <row r="6" ht="24" customHeight="1">
      <c r="A6" s="40" t="inlineStr">
        <is>
          <t>CUST-2025-0009</t>
        </is>
      </c>
      <c r="B6" s="41" t="inlineStr">
        <is>
          <t>Belhurst Sciences</t>
        </is>
      </c>
      <c r="C6" s="42" t="n">
        <v>6750</v>
      </c>
      <c r="D6" s="42" t="n">
        <v>7120</v>
      </c>
      <c r="E6" s="42" t="n">
        <v>7340</v>
      </c>
      <c r="F6" s="43" t="n">
        <v>21210</v>
      </c>
      <c r="G6" s="44" t="n">
        <v>4</v>
      </c>
      <c r="H6" s="45" t="inlineStr">
        <is>
          <t>Retainer + project</t>
        </is>
      </c>
    </row>
    <row r="7" ht="24" customHeight="1">
      <c r="A7" s="34" t="inlineStr">
        <is>
          <t>CUST-2025-0014</t>
        </is>
      </c>
      <c r="B7" s="35" t="inlineStr">
        <is>
          <t>Fairview Reagents</t>
        </is>
      </c>
      <c r="C7" s="36" t="n">
        <v>18200</v>
      </c>
      <c r="D7" s="36" t="n">
        <v>18200</v>
      </c>
      <c r="E7" s="36" t="n">
        <v>21600</v>
      </c>
      <c r="F7" s="37" t="n">
        <v>58000</v>
      </c>
      <c r="G7" s="38" t="n">
        <v>5</v>
      </c>
      <c r="H7" s="39" t="inlineStr">
        <is>
          <t>Dec campaign burst</t>
        </is>
      </c>
    </row>
    <row r="8" ht="24" customHeight="1">
      <c r="A8" s="40" t="inlineStr">
        <is>
          <t>CUST-2025-0019</t>
        </is>
      </c>
      <c r="B8" s="41" t="inlineStr">
        <is>
          <t>Silverbrook Bioscience</t>
        </is>
      </c>
      <c r="C8" s="42" t="n">
        <v>9850</v>
      </c>
      <c r="D8" s="42" t="n">
        <v>10100</v>
      </c>
      <c r="E8" s="42" t="n">
        <v>9900</v>
      </c>
      <c r="F8" s="43" t="n">
        <v>29850</v>
      </c>
      <c r="G8" s="44" t="n">
        <v>3</v>
      </c>
      <c r="H8" s="45" t="inlineStr">
        <is>
          <t>Monthly retainer</t>
        </is>
      </c>
    </row>
    <row r="9" ht="24" customHeight="1">
      <c r="A9" s="34" t="inlineStr">
        <is>
          <t>CUST-2025-0024</t>
        </is>
      </c>
      <c r="B9" s="35" t="inlineStr">
        <is>
          <t>Beckhurst Pharma Services</t>
        </is>
      </c>
      <c r="C9" s="36" t="n">
        <v>4200</v>
      </c>
      <c r="D9" s="36" t="n">
        <v>4200</v>
      </c>
      <c r="E9" s="36" t="n">
        <v>4200</v>
      </c>
      <c r="F9" s="37" t="n">
        <v>12600</v>
      </c>
      <c r="G9" s="38" t="n">
        <v>3</v>
      </c>
      <c r="H9" s="39" t="inlineStr">
        <is>
          <t>Monthly retainer</t>
        </is>
      </c>
    </row>
    <row r="10" ht="24" customHeight="1">
      <c r="A10" s="40" t="inlineStr">
        <is>
          <t>CUST-2025-0029</t>
        </is>
      </c>
      <c r="B10" s="41" t="inlineStr">
        <is>
          <t>Farnsley Diagnostics</t>
        </is>
      </c>
      <c r="C10" s="42" t="n">
        <v>22500</v>
      </c>
      <c r="D10" s="42" t="n">
        <v>24300</v>
      </c>
      <c r="E10" s="42" t="n">
        <v>26100</v>
      </c>
      <c r="F10" s="43" t="n">
        <v>72900</v>
      </c>
      <c r="G10" s="44" t="n">
        <v>6</v>
      </c>
      <c r="H10" s="45" t="inlineStr">
        <is>
          <t>Regulated client</t>
        </is>
      </c>
    </row>
    <row r="11" ht="24" customHeight="1">
      <c r="A11" s="34" t="inlineStr">
        <is>
          <t>CUST-2025-0033</t>
        </is>
      </c>
      <c r="B11" s="35" t="inlineStr">
        <is>
          <t>Marlstone Bioscience</t>
        </is>
      </c>
      <c r="C11" s="36" t="n">
        <v>62300</v>
      </c>
      <c r="D11" s="36" t="n">
        <v>61100</v>
      </c>
      <c r="E11" s="36" t="n">
        <v>64000</v>
      </c>
      <c r="F11" s="37" t="n">
        <v>187400</v>
      </c>
      <c r="G11" s="38" t="n">
        <v>3</v>
      </c>
      <c r="H11" s="39" t="inlineStr">
        <is>
          <t>Raw Sales Invoice figures — pre-adjustment.</t>
        </is>
      </c>
    </row>
    <row r="12" ht="24" customHeight="1">
      <c r="A12" s="40" t="inlineStr">
        <is>
          <t>CUST-2025-0037</t>
        </is>
      </c>
      <c r="B12" s="41" t="inlineStr">
        <is>
          <t>Steeplechase Diagnostics</t>
        </is>
      </c>
      <c r="C12" s="42" t="n">
        <v>8900</v>
      </c>
      <c r="D12" s="42" t="n">
        <v>8900</v>
      </c>
      <c r="E12" s="42" t="n">
        <v>9150</v>
      </c>
      <c r="F12" s="43" t="n">
        <v>26950</v>
      </c>
      <c r="G12" s="44" t="n">
        <v>3</v>
      </c>
      <c r="H12" s="45" t="inlineStr">
        <is>
          <t>Monthly retainer</t>
        </is>
      </c>
    </row>
    <row r="13" ht="24" customHeight="1">
      <c r="A13" s="34" t="inlineStr">
        <is>
          <t>CUST-2025-0042</t>
        </is>
      </c>
      <c r="B13" s="35" t="inlineStr">
        <is>
          <t>Hallowfield Bioscience</t>
        </is>
      </c>
      <c r="C13" s="36" t="n">
        <v>11700</v>
      </c>
      <c r="D13" s="36" t="n">
        <v>12050</v>
      </c>
      <c r="E13" s="36" t="n">
        <v>12400</v>
      </c>
      <c r="F13" s="37" t="n">
        <v>36150</v>
      </c>
      <c r="G13" s="38" t="n">
        <v>4</v>
      </c>
      <c r="H13" s="39" t="inlineStr">
        <is>
          <t>Retainer + media</t>
        </is>
      </c>
    </row>
    <row r="14" ht="24" customHeight="1">
      <c r="A14" s="40" t="inlineStr">
        <is>
          <t>CUST-2025-0049</t>
        </is>
      </c>
      <c r="B14" s="41" t="inlineStr">
        <is>
          <t>Trenton Labware</t>
        </is>
      </c>
      <c r="C14" s="42" t="n">
        <v>14200</v>
      </c>
      <c r="D14" s="42" t="n">
        <v>14200</v>
      </c>
      <c r="E14" s="42" t="n">
        <v>14200</v>
      </c>
      <c r="F14" s="43" t="n">
        <v>42600</v>
      </c>
      <c r="G14" s="44" t="n">
        <v>3</v>
      </c>
      <c r="H14" s="45" t="inlineStr">
        <is>
          <t>Monthly retainer</t>
        </is>
      </c>
    </row>
    <row r="15" ht="24" customHeight="1">
      <c r="A15" s="34" t="inlineStr">
        <is>
          <t>CUST-2025-0056</t>
        </is>
      </c>
      <c r="B15" s="35" t="inlineStr">
        <is>
          <t>Fenland Bioanalytics</t>
        </is>
      </c>
      <c r="C15" s="36" t="n">
        <v>6300</v>
      </c>
      <c r="D15" s="36" t="n">
        <v>6300</v>
      </c>
      <c r="E15" s="36" t="n">
        <v>6300</v>
      </c>
      <c r="F15" s="37" t="n">
        <v>18900</v>
      </c>
      <c r="G15" s="38" t="n">
        <v>3</v>
      </c>
      <c r="H15" s="39" t="inlineStr">
        <is>
          <t>Monthly retainer</t>
        </is>
      </c>
    </row>
    <row r="16" ht="24" customHeight="1">
      <c r="A16" s="40" t="inlineStr">
        <is>
          <t>CUST-2025-0061</t>
        </is>
      </c>
      <c r="B16" s="41" t="inlineStr">
        <is>
          <t>Kingsford Cellular</t>
        </is>
      </c>
      <c r="C16" s="42" t="n">
        <v>19400</v>
      </c>
      <c r="D16" s="42" t="n">
        <v>20150</v>
      </c>
      <c r="E16" s="42" t="n">
        <v>21800</v>
      </c>
      <c r="F16" s="43" t="n">
        <v>61350</v>
      </c>
      <c r="G16" s="44" t="n">
        <v>6</v>
      </c>
      <c r="H16" s="45" t="inlineStr">
        <is>
          <t>Retainer + project</t>
        </is>
      </c>
    </row>
    <row r="17" ht="24" customHeight="1">
      <c r="A17" s="34" t="inlineStr">
        <is>
          <t>CUST-2025-0067</t>
        </is>
      </c>
      <c r="B17" s="35" t="inlineStr">
        <is>
          <t>Millbrook Assay Systems</t>
        </is>
      </c>
      <c r="C17" s="36" t="n">
        <v>8000</v>
      </c>
      <c r="D17" s="36" t="n">
        <v>8000</v>
      </c>
      <c r="E17" s="36" t="n">
        <v>8000</v>
      </c>
      <c r="F17" s="37" t="n">
        <v>24000</v>
      </c>
      <c r="G17" s="38" t="n">
        <v>3</v>
      </c>
      <c r="H17" s="39" t="inlineStr">
        <is>
          <t>Monthly retainer</t>
        </is>
      </c>
    </row>
    <row r="18" ht="24" customHeight="1">
      <c r="A18" s="40" t="inlineStr">
        <is>
          <t>CUST-2025-0072</t>
        </is>
      </c>
      <c r="B18" s="41" t="inlineStr">
        <is>
          <t>Pennington Cell Therapy</t>
        </is>
      </c>
      <c r="C18" s="42" t="n">
        <v>5500</v>
      </c>
      <c r="D18" s="42" t="n">
        <v>5500</v>
      </c>
      <c r="E18" s="42" t="n">
        <v>5500</v>
      </c>
      <c r="F18" s="43" t="n">
        <v>16500</v>
      </c>
      <c r="G18" s="44" t="n">
        <v>3</v>
      </c>
      <c r="H18" s="45" t="inlineStr">
        <is>
          <t>Monthly retainer</t>
        </is>
      </c>
    </row>
    <row r="19" ht="24" customHeight="1">
      <c r="A19" s="34" t="inlineStr">
        <is>
          <t>CUST-2025-0079</t>
        </is>
      </c>
      <c r="B19" s="35" t="inlineStr">
        <is>
          <t>Norwich Genomics</t>
        </is>
      </c>
      <c r="C19" s="36" t="n">
        <v>13600</v>
      </c>
      <c r="D19" s="36" t="n">
        <v>13900</v>
      </c>
      <c r="E19" s="36" t="n">
        <v>14200</v>
      </c>
      <c r="F19" s="37" t="n">
        <v>41700</v>
      </c>
      <c r="G19" s="38" t="n">
        <v>4</v>
      </c>
      <c r="H19" s="39" t="inlineStr">
        <is>
          <t>Retainer + media</t>
        </is>
      </c>
    </row>
    <row r="20" ht="24" customHeight="1">
      <c r="A20" s="40" t="inlineStr">
        <is>
          <t>CUST-2025-0084</t>
        </is>
      </c>
      <c r="B20" s="41" t="inlineStr">
        <is>
          <t>Braemar Life Sciences</t>
        </is>
      </c>
      <c r="C20" s="42" t="n">
        <v>10250</v>
      </c>
      <c r="D20" s="42" t="n">
        <v>10250</v>
      </c>
      <c r="E20" s="42" t="n">
        <v>10600</v>
      </c>
      <c r="F20" s="43" t="n">
        <v>31100</v>
      </c>
      <c r="G20" s="44" t="n">
        <v>3</v>
      </c>
      <c r="H20" s="45" t="inlineStr">
        <is>
          <t>Monthly retainer</t>
        </is>
      </c>
    </row>
    <row r="21" ht="24" customHeight="1">
      <c r="A21" s="34" t="inlineStr">
        <is>
          <t>CUST-2025-0088</t>
        </is>
      </c>
      <c r="B21" s="35" t="inlineStr">
        <is>
          <t>Caldwell Diagnostics</t>
        </is>
      </c>
      <c r="C21" s="36" t="n">
        <v>15360</v>
      </c>
      <c r="D21" s="36" t="n">
        <v>15360</v>
      </c>
      <c r="E21" s="36" t="n">
        <v>15360</v>
      </c>
      <c r="F21" s="37" t="n">
        <v>46080</v>
      </c>
      <c r="G21" s="38" t="n">
        <v>3</v>
      </c>
      <c r="H21" s="39" t="inlineStr">
        <is>
          <t>Fixed monthly retainer of $15,360 per Master Services Agreement on file with Legal (ERPNext Sales Order SO-2024-0261); independent of managed spend volume. Regulated (diagnostics) client.</t>
        </is>
      </c>
    </row>
    <row r="22" ht="24" customHeight="1">
      <c r="A22" s="40" t="inlineStr">
        <is>
          <t>CUST-2025-0093</t>
        </is>
      </c>
      <c r="B22" s="41" t="inlineStr">
        <is>
          <t>Perrimore Instrumentation</t>
        </is>
      </c>
      <c r="C22" s="42" t="n">
        <v>24800</v>
      </c>
      <c r="D22" s="42" t="n">
        <v>25200</v>
      </c>
      <c r="E22" s="42" t="n">
        <v>28400</v>
      </c>
      <c r="F22" s="43" t="n">
        <v>78400</v>
      </c>
      <c r="G22" s="44" t="n">
        <v>7</v>
      </c>
      <c r="H22" s="45" t="inlineStr">
        <is>
          <t>Retainer + project + media</t>
        </is>
      </c>
    </row>
    <row r="23" ht="24" customHeight="1">
      <c r="A23" s="34" t="inlineStr">
        <is>
          <t>CUST-2025-0099</t>
        </is>
      </c>
      <c r="B23" s="35" t="inlineStr">
        <is>
          <t>Quilford Genomics</t>
        </is>
      </c>
      <c r="C23" s="36" t="n">
        <v>7650</v>
      </c>
      <c r="D23" s="36" t="n">
        <v>7650</v>
      </c>
      <c r="E23" s="36" t="n">
        <v>7650</v>
      </c>
      <c r="F23" s="37" t="n">
        <v>22950</v>
      </c>
      <c r="G23" s="38" t="n">
        <v>3</v>
      </c>
      <c r="H23" s="39" t="inlineStr">
        <is>
          <t>Monthly retainer</t>
        </is>
      </c>
    </row>
    <row r="24" ht="24" customHeight="1">
      <c r="A24" s="40" t="inlineStr">
        <is>
          <t>CUST-2025-0105</t>
        </is>
      </c>
      <c r="B24" s="41" t="inlineStr">
        <is>
          <t>Redstone Assays</t>
        </is>
      </c>
      <c r="C24" s="42" t="n">
        <v>9300</v>
      </c>
      <c r="D24" s="42" t="n">
        <v>9300</v>
      </c>
      <c r="E24" s="42" t="n">
        <v>9300</v>
      </c>
      <c r="F24" s="43" t="n">
        <v>27900</v>
      </c>
      <c r="G24" s="44" t="n">
        <v>3</v>
      </c>
      <c r="H24" s="45" t="inlineStr">
        <is>
          <t>Monthly retainer</t>
        </is>
      </c>
    </row>
    <row r="25" ht="24" customHeight="1">
      <c r="A25" s="34" t="inlineStr">
        <is>
          <t>CUST-2025-0111</t>
        </is>
      </c>
      <c r="B25" s="35" t="inlineStr">
        <is>
          <t>Halston Molecular Diagnostics</t>
        </is>
      </c>
      <c r="C25" s="36" t="n">
        <v>16400</v>
      </c>
      <c r="D25" s="36" t="n">
        <v>17100</v>
      </c>
      <c r="E25" s="36" t="n">
        <v>17900</v>
      </c>
      <c r="F25" s="37" t="n">
        <v>51400</v>
      </c>
      <c r="G25" s="38" t="n">
        <v>5</v>
      </c>
      <c r="H25" s="39" t="inlineStr">
        <is>
          <t>Retainer + project</t>
        </is>
      </c>
    </row>
    <row r="26" ht="24" customHeight="1">
      <c r="A26" s="40" t="inlineStr">
        <is>
          <t>CUST-2025-0118</t>
        </is>
      </c>
      <c r="B26" s="41" t="inlineStr">
        <is>
          <t>Radstock Diagnostics</t>
        </is>
      </c>
      <c r="C26" s="42" t="n">
        <v>12000</v>
      </c>
      <c r="D26" s="42" t="n">
        <v>12000</v>
      </c>
      <c r="E26" s="42" t="n">
        <v>12000</v>
      </c>
      <c r="F26" s="43" t="n">
        <v>36000</v>
      </c>
      <c r="G26" s="44" t="n">
        <v>3</v>
      </c>
      <c r="H26" s="45" t="inlineStr">
        <is>
          <t>Monthly retainer</t>
        </is>
      </c>
    </row>
    <row r="27" ht="24" customHeight="1">
      <c r="A27" s="34" t="inlineStr">
        <is>
          <t>CUST-2025-0124</t>
        </is>
      </c>
      <c r="B27" s="35" t="inlineStr">
        <is>
          <t>Verwood Genomics</t>
        </is>
      </c>
      <c r="C27" s="36" t="n">
        <v>5900</v>
      </c>
      <c r="D27" s="36" t="n">
        <v>6200</v>
      </c>
      <c r="E27" s="36" t="n">
        <v>6500</v>
      </c>
      <c r="F27" s="37" t="n">
        <v>18600</v>
      </c>
      <c r="G27" s="38" t="n">
        <v>3</v>
      </c>
      <c r="H27" s="39" t="inlineStr">
        <is>
          <t>Monthly retainer</t>
        </is>
      </c>
    </row>
    <row r="28" ht="24" customHeight="1">
      <c r="A28" s="40" t="inlineStr">
        <is>
          <t>CUST-2025-0131</t>
        </is>
      </c>
      <c r="B28" s="41" t="inlineStr">
        <is>
          <t>Verrick Microbiology</t>
        </is>
      </c>
      <c r="C28" s="42" t="n">
        <v>8750</v>
      </c>
      <c r="D28" s="42" t="n">
        <v>8750</v>
      </c>
      <c r="E28" s="42" t="n">
        <v>8750</v>
      </c>
      <c r="F28" s="43" t="n">
        <v>26250</v>
      </c>
      <c r="G28" s="44" t="n">
        <v>3</v>
      </c>
      <c r="H28" s="45" t="inlineStr">
        <is>
          <t>Monthly retainer</t>
        </is>
      </c>
    </row>
    <row r="29" ht="24" customHeight="1">
      <c r="A29" s="34" t="inlineStr">
        <is>
          <t>CUST-2025-0138</t>
        </is>
      </c>
      <c r="B29" s="35" t="inlineStr">
        <is>
          <t>Kingsley Molecular</t>
        </is>
      </c>
      <c r="C29" s="36" t="n">
        <v>21300</v>
      </c>
      <c r="D29" s="36" t="n">
        <v>22150</v>
      </c>
      <c r="E29" s="36" t="n">
        <v>23000</v>
      </c>
      <c r="F29" s="37" t="n">
        <v>66450</v>
      </c>
      <c r="G29" s="38" t="n">
        <v>6</v>
      </c>
      <c r="H29" s="39" t="inlineStr">
        <is>
          <t>Retainer + project</t>
        </is>
      </c>
    </row>
    <row r="30" ht="24" customHeight="1">
      <c r="A30" s="40" t="inlineStr">
        <is>
          <t>CUST-2025-0142</t>
        </is>
      </c>
      <c r="B30" s="41" t="inlineStr">
        <is>
          <t>Ashford Scientific Instruments</t>
        </is>
      </c>
      <c r="C30" s="42" t="n">
        <v>9600</v>
      </c>
      <c r="D30" s="42" t="n">
        <v>9600</v>
      </c>
      <c r="E30" s="42" t="n">
        <v>9600</v>
      </c>
      <c r="F30" s="43" t="n">
        <v>28800</v>
      </c>
      <c r="G30" s="44" t="n">
        <v>3</v>
      </c>
      <c r="H30" s="45" t="inlineStr">
        <is>
          <t>Inherited account</t>
        </is>
      </c>
    </row>
    <row r="31" ht="24" customHeight="1">
      <c r="A31" s="34" t="inlineStr">
        <is>
          <t>CUST-2025-0146</t>
        </is>
      </c>
      <c r="B31" s="35" t="inlineStr">
        <is>
          <t>Larkspur Diagnostics</t>
        </is>
      </c>
      <c r="C31" s="36" t="n">
        <v>4800</v>
      </c>
      <c r="D31" s="36" t="n">
        <v>4800</v>
      </c>
      <c r="E31" s="36" t="n">
        <v>4800</v>
      </c>
      <c r="F31" s="37" t="n">
        <v>14400</v>
      </c>
      <c r="G31" s="38" t="n">
        <v>3</v>
      </c>
      <c r="H31" s="39" t="inlineStr">
        <is>
          <t>Monthly retainer</t>
        </is>
      </c>
    </row>
    <row r="32" ht="24" customHeight="1">
      <c r="A32" s="40" t="inlineStr">
        <is>
          <t>CUST-2025-0151</t>
        </is>
      </c>
      <c r="B32" s="41" t="inlineStr">
        <is>
          <t>Ingleton Diagnostics</t>
        </is>
      </c>
      <c r="C32" s="42" t="n">
        <v>13200</v>
      </c>
      <c r="D32" s="42" t="n">
        <v>13200</v>
      </c>
      <c r="E32" s="42" t="n">
        <v>13200</v>
      </c>
      <c r="F32" s="43" t="n">
        <v>39600</v>
      </c>
      <c r="G32" s="44" t="n">
        <v>3</v>
      </c>
      <c r="H32" s="45" t="inlineStr">
        <is>
          <t>Monthly retainer</t>
        </is>
      </c>
    </row>
    <row r="33" ht="24" customHeight="1">
      <c r="A33" s="34" t="inlineStr">
        <is>
          <t>CUST-2025-0157</t>
        </is>
      </c>
      <c r="B33" s="35" t="inlineStr">
        <is>
          <t>Northlake Bioinstruments</t>
        </is>
      </c>
      <c r="C33" s="36" t="n">
        <v>8140</v>
      </c>
      <c r="D33" s="36" t="n">
        <v>8470</v>
      </c>
      <c r="E33" s="36" t="n">
        <v>9350</v>
      </c>
      <c r="F33" s="37" t="n">
        <v>25960</v>
      </c>
      <c r="G33" s="38" t="n">
        <v>3</v>
      </c>
      <c r="H33" s="39" t="inlineStr">
        <is>
          <t>Inherited account</t>
        </is>
      </c>
    </row>
    <row r="34" ht="24" customHeight="1">
      <c r="A34" s="40" t="inlineStr">
        <is>
          <t>CUST-2025-0163</t>
        </is>
      </c>
      <c r="B34" s="41" t="inlineStr">
        <is>
          <t>Larchfield Bioanalytics</t>
        </is>
      </c>
      <c r="C34" s="42" t="n">
        <v>7400</v>
      </c>
      <c r="D34" s="42" t="n">
        <v>7400</v>
      </c>
      <c r="E34" s="42" t="n">
        <v>7650</v>
      </c>
      <c r="F34" s="43" t="n">
        <v>22450</v>
      </c>
      <c r="G34" s="44" t="n">
        <v>3</v>
      </c>
      <c r="H34" s="45" t="inlineStr">
        <is>
          <t>Monthly retainer</t>
        </is>
      </c>
    </row>
    <row r="35" ht="24" customHeight="1">
      <c r="A35" s="34" t="inlineStr">
        <is>
          <t>CUST-2025-0169</t>
        </is>
      </c>
      <c r="B35" s="35" t="inlineStr">
        <is>
          <t>Norbury Bioimaging</t>
        </is>
      </c>
      <c r="C35" s="36" t="n">
        <v>16900</v>
      </c>
      <c r="D35" s="36" t="n">
        <v>17400</v>
      </c>
      <c r="E35" s="36" t="n">
        <v>18200</v>
      </c>
      <c r="F35" s="37" t="n">
        <v>52500</v>
      </c>
      <c r="G35" s="38" t="n">
        <v>5</v>
      </c>
      <c r="H35" s="39" t="inlineStr">
        <is>
          <t>Regulated client</t>
        </is>
      </c>
    </row>
    <row r="36" ht="24" customHeight="1">
      <c r="A36" s="40" t="inlineStr">
        <is>
          <t>CUST-2025-0176</t>
        </is>
      </c>
      <c r="B36" s="41" t="inlineStr">
        <is>
          <t>Barrowfield Biolabs</t>
        </is>
      </c>
      <c r="C36" s="42" t="n">
        <v>10800</v>
      </c>
      <c r="D36" s="42" t="n">
        <v>10800</v>
      </c>
      <c r="E36" s="42" t="n">
        <v>10800</v>
      </c>
      <c r="F36" s="43" t="n">
        <v>32400</v>
      </c>
      <c r="G36" s="44" t="n">
        <v>3</v>
      </c>
      <c r="H36" s="45" t="inlineStr">
        <is>
          <t>Monthly retainer</t>
        </is>
      </c>
    </row>
    <row r="37" ht="24" customHeight="1">
      <c r="A37" s="34" t="inlineStr">
        <is>
          <t>CUST-2025-0184</t>
        </is>
      </c>
      <c r="B37" s="35" t="inlineStr">
        <is>
          <t>Selwood Cell Systems</t>
        </is>
      </c>
      <c r="C37" s="36" t="n">
        <v>6000</v>
      </c>
      <c r="D37" s="36" t="n">
        <v>6000</v>
      </c>
      <c r="E37" s="36" t="n">
        <v>6000</v>
      </c>
      <c r="F37" s="37" t="n">
        <v>18000</v>
      </c>
      <c r="G37" s="38" t="n">
        <v>3</v>
      </c>
      <c r="H37" s="39" t="inlineStr">
        <is>
          <t>Monthly retainer</t>
        </is>
      </c>
    </row>
    <row r="38" ht="24" customHeight="1">
      <c r="A38" s="40" t="inlineStr">
        <is>
          <t>CUST-2025-0191</t>
        </is>
      </c>
      <c r="B38" s="41" t="inlineStr">
        <is>
          <t>Draymere Sciences</t>
        </is>
      </c>
      <c r="C38" s="42" t="n">
        <v>9500</v>
      </c>
      <c r="D38" s="42" t="n">
        <v>9750</v>
      </c>
      <c r="E38" s="42" t="n">
        <v>10000</v>
      </c>
      <c r="F38" s="43" t="n">
        <v>29250</v>
      </c>
      <c r="G38" s="44" t="n">
        <v>3</v>
      </c>
      <c r="H38" s="45" t="inlineStr">
        <is>
          <t>Monthly retainer</t>
        </is>
      </c>
    </row>
    <row r="39" ht="24" customHeight="1">
      <c r="A39" s="34" t="inlineStr">
        <is>
          <t>CUST-2025-0198</t>
        </is>
      </c>
      <c r="B39" s="35" t="inlineStr">
        <is>
          <t>Fenwick Genomics</t>
        </is>
      </c>
      <c r="C39" s="36" t="n">
        <v>8500</v>
      </c>
      <c r="D39" s="36" t="n">
        <v>8500</v>
      </c>
      <c r="E39" s="36" t="n">
        <v>8500</v>
      </c>
      <c r="F39" s="37" t="n">
        <v>25500</v>
      </c>
      <c r="G39" s="38" t="n">
        <v>3</v>
      </c>
      <c r="H39" s="39" t="inlineStr">
        <is>
          <t>Inherited account; legacy MSA retainer (ERPNext Sales Order SO-2025-0417; agreement filed in /Legal/Legacy_Bramwell/)</t>
        </is>
      </c>
    </row>
    <row r="40" ht="24" customHeight="1">
      <c r="A40" s="40" t="inlineStr">
        <is>
          <t>CUST-2025-0201</t>
        </is>
      </c>
      <c r="B40" s="41" t="inlineStr">
        <is>
          <t>Wrenfield Scientific</t>
        </is>
      </c>
      <c r="C40" s="42" t="n">
        <v>15533</v>
      </c>
      <c r="D40" s="42" t="n">
        <v>15533</v>
      </c>
      <c r="E40" s="42" t="n">
        <v>15534</v>
      </c>
      <c r="F40" s="43" t="n">
        <v>46600</v>
      </c>
      <c r="G40" s="44" t="n">
        <v>3</v>
      </c>
      <c r="H40" s="45" t="inlineStr">
        <is>
          <t>Monthly retainer</t>
        </is>
      </c>
    </row>
    <row r="41" ht="24" customHeight="1">
      <c r="A41" s="34" t="inlineStr">
        <is>
          <t>CUST-2025-0206</t>
        </is>
      </c>
      <c r="B41" s="35" t="inlineStr">
        <is>
          <t>Marchmont Analytical Systems</t>
        </is>
      </c>
      <c r="C41" s="36" t="n">
        <v>14600</v>
      </c>
      <c r="D41" s="36" t="n">
        <v>14600</v>
      </c>
      <c r="E41" s="36" t="n">
        <v>14600</v>
      </c>
      <c r="F41" s="37" t="n">
        <v>43800</v>
      </c>
      <c r="G41" s="38" t="n">
        <v>3</v>
      </c>
      <c r="H41" s="39" t="inlineStr">
        <is>
          <t>Monthly retainer</t>
        </is>
      </c>
    </row>
    <row r="42" ht="24" customHeight="1">
      <c r="A42" s="40" t="inlineStr">
        <is>
          <t>CUST-2025-0213</t>
        </is>
      </c>
      <c r="B42" s="41" t="inlineStr">
        <is>
          <t>Coppergate Diagnostics</t>
        </is>
      </c>
      <c r="C42" s="42" t="n">
        <v>8200</v>
      </c>
      <c r="D42" s="42" t="n">
        <v>8200</v>
      </c>
      <c r="E42" s="42" t="n">
        <v>8700</v>
      </c>
      <c r="F42" s="43" t="n">
        <v>25100</v>
      </c>
      <c r="G42" s="44" t="n">
        <v>3</v>
      </c>
      <c r="H42" s="45" t="inlineStr">
        <is>
          <t>Monthly retainer</t>
        </is>
      </c>
    </row>
    <row r="43" ht="24" customHeight="1">
      <c r="A43" s="34" t="inlineStr">
        <is>
          <t>CUST-2025-0219</t>
        </is>
      </c>
      <c r="B43" s="35" t="inlineStr">
        <is>
          <t>Everleigh Bioinstruments</t>
        </is>
      </c>
      <c r="C43" s="36" t="n">
        <v>11100</v>
      </c>
      <c r="D43" s="36" t="n">
        <v>11100</v>
      </c>
      <c r="E43" s="36" t="n">
        <v>11100</v>
      </c>
      <c r="F43" s="37" t="n">
        <v>33300</v>
      </c>
      <c r="G43" s="38" t="n">
        <v>3</v>
      </c>
      <c r="H43" s="39" t="inlineStr">
        <is>
          <t>Monthly retainer</t>
        </is>
      </c>
    </row>
    <row r="44" ht="24" customHeight="1">
      <c r="A44" s="40" t="inlineStr">
        <is>
          <t>CUST-2025-0225</t>
        </is>
      </c>
      <c r="B44" s="41" t="inlineStr">
        <is>
          <t>Glenmore Diagnostics</t>
        </is>
      </c>
      <c r="C44" s="42" t="n">
        <v>19800</v>
      </c>
      <c r="D44" s="42" t="n">
        <v>20400</v>
      </c>
      <c r="E44" s="42" t="n">
        <v>21900</v>
      </c>
      <c r="F44" s="43" t="n">
        <v>62100</v>
      </c>
      <c r="G44" s="44" t="n">
        <v>6</v>
      </c>
      <c r="H44" s="45" t="inlineStr">
        <is>
          <t>Retainer + project</t>
        </is>
      </c>
    </row>
    <row r="45" ht="30" customHeight="1">
      <c r="A45" s="46" t="inlineStr">
        <is>
          <t>TOTALS</t>
        </is>
      </c>
      <c r="B45" s="46" t="inlineStr">
        <is>
          <t>40 clients</t>
        </is>
      </c>
      <c r="C45" s="47">
        <f>SUM(C5:C44)</f>
        <v>519583</v>
      </c>
      <c r="D45" s="47">
        <f>SUM(D5:D44)</f>
        <v>526133</v>
      </c>
      <c r="E45" s="47">
        <f>SUM(E5:E44)</f>
        <v>546484</v>
      </c>
      <c r="F45" s="47">
        <f>SUM(F5:F44)</f>
        <v>1592200</v>
      </c>
      <c r="G45" s="48">
        <f>SUM(G5:G44)</f>
        <v>145</v>
      </c>
      <c r="H45" s="46" t="inlineStr">
        <is>
          <t>Raw Sales Invoice figures — pre-adjustment.</t>
        </is>
      </c>
    </row>
  </sheetData>
  <mergeCells count="2">
    <mergeCell ref="A2:H2"/>
    <mergeCell ref="A1:H1"/>
  </mergeCells>
  <printOptions horizontalCentered="1"/>
  <pageMargins left="0.4" right="0.4" top="0.6" bottom="0.6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98" customWidth="1" min="2" max="2"/>
  </cols>
  <sheetData>
    <row r="1" ht="34" customHeight="1">
      <c r="A1" s="30" t="inlineStr">
        <is>
          <t>Footer Notes — Methodology &amp; Scope</t>
        </is>
      </c>
    </row>
    <row r="2" ht="14" customHeight="1"/>
    <row r="3" ht="56" customHeight="1">
      <c r="A3" s="25" t="inlineStr">
        <is>
          <t>Extract methodology</t>
        </is>
      </c>
      <c r="B3" s="27" t="inlineStr">
        <is>
          <t>One row per active Customer with at least one Sales Invoice posted in Q4 2025; monthly columns are the sum of `grand_total` on invoices whose `posting_date` falls in that calendar month; Q4 2025 Total Billed is the sum of the three monthly columns; Invoice Count is the count of Sales Invoice documents (any status) contributing to the row.</t>
        </is>
      </c>
    </row>
    <row r="4" ht="32" customHeight="1">
      <c r="A4" s="25" t="inlineStr">
        <is>
          <t>Scope</t>
        </is>
      </c>
      <c r="B4" s="27" t="inlineStr">
        <is>
          <t>Sales Invoices only. Credit Notes, Journal Entries, and any downstream adjustments are tracked separately and are not reflected in this export.</t>
        </is>
      </c>
    </row>
    <row r="5" ht="42" customHeight="1">
      <c r="A5" s="25" t="inlineStr">
        <is>
          <t>Customer master</t>
        </is>
      </c>
      <c r="B5" s="27" t="inlineStr">
        <is>
          <t>`account_origin` and `regulated_client` custom fields on the ERPNext Customer doctype were used to populate the Notes column flags where relevant; flags are informational and do not alter the amounts.</t>
        </is>
      </c>
    </row>
    <row r="6" ht="48" customHeight="1">
      <c r="A6" s="25" t="inlineStr">
        <is>
          <t>Certification</t>
        </is>
      </c>
      <c r="B6" s="27" t="inlineStr">
        <is>
          <t>Figures tie to the ERPNext Sales Invoice register as of the extract timestamp on the Cover sheet. Any client-specific reconciliation items (e.g., outstanding credit / debit notes, marketing-attribution methodology variances) are reviewed in the per-client reconciliation workpapers, not here.</t>
        </is>
      </c>
    </row>
    <row r="7" ht="12" customHeight="1"/>
    <row r="8" ht="26" customHeight="1">
      <c r="A8" s="25" t="inlineStr">
        <is>
          <t>Prepared by</t>
        </is>
      </c>
      <c r="B8" s="55" t="inlineStr">
        <is>
          <t>Alan Rutherford, Finance Director — Thornfield Life Sciences Marketing, Inc.</t>
        </is>
      </c>
    </row>
    <row r="9" ht="14" customHeight="1"/>
    <row r="10" ht="28" customHeight="1">
      <c r="A10" s="50" t="inlineStr">
        <is>
          <t>Client-specific billing notes</t>
        </is>
      </c>
    </row>
    <row r="11" ht="44" customHeight="1">
      <c r="A11" s="51" t="inlineStr">
        <is>
          <t>Caldwell Diagnostics (CUST-2025-0088)</t>
        </is>
      </c>
      <c r="B11" s="27" t="inlineStr">
        <is>
          <t>Billed on a fixed monthly retainer of $15,360 per the Master Services Agreement on file with Legal (ERPNext Sales Order SO-2024-0261); this figure is independent of the managed spend recorded in the platform-level Q4 managed-spend export.</t>
        </is>
      </c>
    </row>
    <row r="12"/>
    <row r="13" ht="130" customHeight="1">
      <c r="A13" s="51" t="inlineStr">
        <is>
          <t>Bramwell client coverage</t>
        </is>
      </c>
      <c r="B13" s="27" t="inlineStr">
        <is>
          <t>Six Bramwell-origin clients (CUST-2025-0142 Ashford, CUST-2025-0157 Northlake, CUST-2025-0198 Fenwick, CUST-2025-0151 Ingleton, CUST-2025-0163 Larchfield, CUST-2025-0169 Norbury) appear in this Q4 2025 billing export because they migrated to Thornfield ERPNext Sales Invoice billing on or after the 09/01/2025 close. Of these, Ashford, Northlake, and Fenwick are also enumerated in Bramwell_FY2025_standalone.xlsx; Ingleton, Larchfield, and Norbury were transitioned to Thornfield invoicing but were not part of Bramwell's standalone financial-reporting scope. The remaining Bramwell-origin clients enumerated in Bramwell_FY2025_standalone.xlsx (17 of its 20 rows) are billed on legacy Bramwell systems through Q4 2025 and their Q4 revenue is captured in that standalone workbook rather than here.</t>
        </is>
      </c>
    </row>
    <row r="14"/>
    <row r="15" ht="58" customHeight="1">
      <c r="A15" s="51" t="inlineStr">
        <is>
          <t>Inherited-Bramwell renewal billing</t>
        </is>
      </c>
      <c r="B15" s="27" t="inlineStr">
        <is>
          <t>Q4 2025 billing for inherited-Bramwell renewals reflects the rate schedule in effect at invoice-posting time. Renewal-rate lock-in reconciliation against the renewal-date and the applicable schedule is performed downstream (see legacy_accounts_rate_schedule for schedule effective dates and client_renewal_dates for renewal-date records) and is not captured in this pre-adjustment extract.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