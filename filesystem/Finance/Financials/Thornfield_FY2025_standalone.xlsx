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_Revenue_by_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2"/>
    </font>
    <font>
      <name val="Calibri"/>
      <b val="1"/>
      <color rgb="001F3864"/>
      <sz val="12"/>
    </font>
    <font>
      <name val="Calibri"/>
      <b val="1"/>
      <sz val="11"/>
    </font>
    <font>
      <name val="Calibri"/>
      <i val="1"/>
      <sz val="10"/>
    </font>
    <font>
      <name val="Segoe UI"/>
      <b val="1"/>
      <color rgb="00FFFFFF"/>
      <sz val="15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475569"/>
      <sz val="9.5"/>
    </font>
    <font>
      <name val="Segoe UI"/>
      <color rgb="001E293B"/>
      <sz val="9.5"/>
    </font>
    <font>
      <name val="Segoe UI"/>
      <b val="1"/>
      <color rgb="000F172A"/>
      <sz val="9.5"/>
    </font>
    <font>
      <name val="Segoe UI"/>
      <b val="1"/>
      <color rgb="001E40AF"/>
      <sz val="11"/>
    </font>
    <font>
      <name val="Segoe UI"/>
      <b val="1"/>
      <color rgb="001E40AF"/>
      <sz val="13"/>
    </font>
    <font>
      <name val="Segoe UI"/>
      <b val="1"/>
      <color rgb="000F172A"/>
      <sz val="11"/>
    </font>
    <font>
      <name val="Segoe UI"/>
      <color rgb="00334155"/>
      <sz val="9.5"/>
    </font>
    <font>
      <name val="Segoe UI"/>
      <b val="1"/>
      <color rgb="000F172A"/>
      <sz val="10.5"/>
    </font>
    <font>
      <name val="Segoe UI"/>
      <i val="1"/>
      <color rgb="00475569"/>
      <sz val="9.5"/>
    </font>
    <font>
      <name val="Segoe UI"/>
      <color rgb="0064748B"/>
      <sz val="8.5"/>
    </font>
    <font>
      <name val="Segoe UI"/>
      <color rgb="FF475569"/>
      <sz val="8.5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</fills>
  <borders count="3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563EB"/>
      </left>
      <right style="medium">
        <color rgb="00CBD5E1"/>
      </right>
      <top style="thin">
        <color rgb="00E2E8F0"/>
      </top>
      <bottom style="hair">
        <color rgb="00E2E8F0"/>
      </bottom>
    </border>
    <border>
      <top style="thin">
        <color rgb="00E2E8F0"/>
      </top>
      <bottom style="hair">
        <color rgb="00E2E8F0"/>
      </bottom>
    </border>
    <border>
      <right style="medium">
        <color rgb="00CBD5E1"/>
      </right>
      <top style="thin">
        <color rgb="00E2E8F0"/>
      </top>
      <bottom style="hair">
        <color rgb="00E2E8F0"/>
      </bottom>
    </border>
    <border>
      <left style="medium">
        <color rgb="002563EB"/>
      </left>
      <right style="medium">
        <color rgb="00CBD5E1"/>
      </right>
      <top style="hair">
        <color rgb="00E2E8F0"/>
      </top>
      <bottom style="hair">
        <color rgb="00E2E8F0"/>
      </bottom>
    </border>
    <border>
      <top style="hair">
        <color rgb="00E2E8F0"/>
      </top>
      <bottom style="hair">
        <color rgb="00E2E8F0"/>
      </bottom>
    </border>
    <border>
      <right style="medium">
        <color rgb="00CBD5E1"/>
      </right>
      <top style="hair">
        <color rgb="00E2E8F0"/>
      </top>
      <bottom style="hair">
        <color rgb="00E2E8F0"/>
      </bottom>
    </border>
    <border>
      <left style="medium">
        <color rgb="002563EB"/>
      </left>
      <right style="medium">
        <color rgb="00CBD5E1"/>
      </right>
      <top style="hair">
        <color rgb="00E2E8F0"/>
      </top>
      <bottom style="thin">
        <color rgb="00E2E8F0"/>
      </bottom>
    </border>
    <border>
      <top style="hair">
        <color rgb="00E2E8F0"/>
      </top>
      <bottom style="thin">
        <color rgb="00E2E8F0"/>
      </bottom>
    </border>
    <border>
      <right style="medium">
        <color rgb="00CBD5E1"/>
      </right>
      <top style="hair">
        <color rgb="00E2E8F0"/>
      </top>
      <bottom style="thin">
        <color rgb="00E2E8F0"/>
      </bottom>
    </border>
    <border>
      <top style="medium">
        <color rgb="000F172A"/>
      </top>
      <bottom style="medium">
        <color rgb="002563E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medium">
        <color rgb="000F172A"/>
      </top>
      <bottom style="double">
        <color rgb="000F172A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top style="medium">
        <color rgb="00CBD5E1"/>
      </top>
      <bottom style="thin">
        <color rgb="00E2E8F0"/>
      </bottom>
    </border>
    <border>
      <bottom style="hair">
        <color rgb="00E2E8F0"/>
      </bottom>
    </border>
    <border>
      <left/>
      <right/>
      <top style="hair">
        <color rgb="00E2E8F0"/>
      </top>
      <bottom/>
      <diagonal/>
    </border>
    <border>
      <left/>
      <right style="medium">
        <color rgb="00CBD5E1"/>
      </right>
      <top style="hair">
        <color rgb="00E2E8F0"/>
      </top>
      <bottom/>
      <diagonal/>
    </border>
    <border>
      <left/>
      <right/>
      <top style="hair">
        <color rgb="00E2E8F0"/>
      </top>
      <bottom style="hair">
        <color rgb="00E2E8F0"/>
      </bottom>
      <diagonal/>
    </border>
    <border>
      <left/>
      <right style="medium">
        <color rgb="00CBD5E1"/>
      </right>
      <top style="hair">
        <color rgb="00E2E8F0"/>
      </top>
      <bottom style="hair">
        <color rgb="00E2E8F0"/>
      </bottom>
      <diagonal/>
    </border>
    <border>
      <left/>
      <right/>
      <top/>
      <bottom style="hair">
        <color rgb="00E2E8F0"/>
      </bottom>
      <diagonal/>
    </border>
    <border>
      <left/>
      <right/>
      <top style="medium">
        <color rgb="00CBD5E1"/>
      </top>
      <bottom/>
      <diagonal/>
    </border>
    <border>
      <left/>
      <right/>
      <top style="medium">
        <color rgb="00CBD5E1"/>
      </top>
      <bottom style="thin">
        <color rgb="00E2E8F0"/>
      </bottom>
      <diagonal/>
    </border>
    <border>
      <left/>
      <right/>
      <top style="thin">
        <color rgb="00E2E8F0"/>
      </top>
      <bottom/>
      <diagonal/>
    </border>
    <border>
      <left/>
      <right style="medium">
        <color rgb="00CBD5E1"/>
      </right>
      <top style="thin">
        <color rgb="00E2E8F0"/>
      </top>
      <bottom/>
      <diagonal/>
    </border>
    <border>
      <left/>
      <right/>
      <top style="thin">
        <color rgb="00E2E8F0"/>
      </top>
      <bottom style="hair">
        <color rgb="00E2E8F0"/>
      </bottom>
      <diagonal/>
    </border>
    <border>
      <left/>
      <right style="medium">
        <color rgb="00CBD5E1"/>
      </right>
      <top style="thin">
        <color rgb="00E2E8F0"/>
      </top>
      <bottom style="hair">
        <color rgb="00E2E8F0"/>
      </bottom>
      <diagonal/>
    </border>
    <border>
      <left/>
      <right/>
      <top style="medium">
        <color rgb="002563EB"/>
      </top>
      <bottom/>
      <diagonal/>
    </border>
    <border>
      <left/>
      <right style="medium">
        <color rgb="002563EB"/>
      </right>
      <top style="medium">
        <color rgb="002563EB"/>
      </top>
      <bottom/>
      <diagonal/>
    </border>
    <border>
      <left/>
      <right/>
      <top style="medium">
        <color rgb="002563EB"/>
      </top>
      <bottom style="medium">
        <color rgb="002563EB"/>
      </bottom>
      <diagonal/>
    </border>
    <border>
      <left/>
      <right style="medium">
        <color rgb="002563EB"/>
      </right>
      <top style="medium">
        <color rgb="002563EB"/>
      </top>
      <bottom style="medium">
        <color rgb="002563EB"/>
      </bottom>
      <diagonal/>
    </border>
    <border>
      <left/>
      <right/>
      <top style="hair">
        <color rgb="00E2E8F0"/>
      </top>
      <bottom style="thin">
        <color rgb="00E2E8F0"/>
      </bottom>
      <diagonal/>
    </border>
    <border>
      <left/>
      <right style="medium">
        <color rgb="00CBD5E1"/>
      </right>
      <top style="hair">
        <color rgb="00E2E8F0"/>
      </top>
      <bottom style="thin">
        <color rgb="00E2E8F0"/>
      </bottom>
      <diagonal/>
    </border>
    <border>
      <right/>
      <bottom style="hair">
        <color rgb="00E2E8F0"/>
      </bottom>
    </border>
    <border>
      <right/>
      <top style="medium">
        <color rgb="00CBD5E1"/>
      </top>
      <bottom style="thin">
        <color rgb="00E2E8F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0" fillId="6" borderId="2" applyAlignment="1" pivotButton="0" quotePrefix="0" xfId="0">
      <alignment horizontal="right" vertical="center" indent="1"/>
    </xf>
    <xf numFmtId="0" fontId="11" fillId="6" borderId="3" applyAlignment="1" pivotButton="0" quotePrefix="0" xfId="0">
      <alignment horizontal="left" vertical="center" wrapText="1"/>
    </xf>
    <xf numFmtId="0" fontId="11" fillId="6" borderId="4" applyAlignment="1" pivotButton="0" quotePrefix="0" xfId="0">
      <alignment horizontal="left" vertical="center" wrapText="1"/>
    </xf>
    <xf numFmtId="0" fontId="10" fillId="6" borderId="5" applyAlignment="1" pivotButton="0" quotePrefix="0" xfId="0">
      <alignment horizontal="right" vertical="center" indent="1"/>
    </xf>
    <xf numFmtId="0" fontId="11" fillId="6" borderId="6" applyAlignment="1" pivotButton="0" quotePrefix="0" xfId="0">
      <alignment horizontal="left" vertical="center" wrapText="1"/>
    </xf>
    <xf numFmtId="0" fontId="11" fillId="6" borderId="7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right" vertical="center" indent="1"/>
    </xf>
    <xf numFmtId="0" fontId="11" fillId="6" borderId="9" applyAlignment="1" pivotButton="0" quotePrefix="0" xfId="0">
      <alignment horizontal="left" vertical="center" wrapText="1"/>
    </xf>
    <xf numFmtId="0" fontId="11" fillId="6" borderId="10" applyAlignment="1" pivotButton="0" quotePrefix="0" xfId="0">
      <alignment horizontal="left" vertical="center" wrapText="1"/>
    </xf>
    <xf numFmtId="0" fontId="12" fillId="5" borderId="11" applyAlignment="1" pivotButton="0" quotePrefix="0" xfId="0">
      <alignment horizontal="left" vertical="center"/>
    </xf>
    <xf numFmtId="0" fontId="12" fillId="5" borderId="11" applyAlignment="1" pivotButton="0" quotePrefix="0" xfId="0">
      <alignment horizontal="right" vertical="center"/>
    </xf>
    <xf numFmtId="0" fontId="13" fillId="7" borderId="12" applyAlignment="1" pivotButton="0" quotePrefix="0" xfId="0">
      <alignment horizontal="left" vertical="center"/>
    </xf>
    <xf numFmtId="0" fontId="11" fillId="7" borderId="12" applyAlignment="1" pivotButton="0" quotePrefix="0" xfId="0">
      <alignment horizontal="left" vertical="center"/>
    </xf>
    <xf numFmtId="164" fontId="14" fillId="7" borderId="12" applyAlignment="1" pivotButton="0" quotePrefix="0" xfId="0">
      <alignment horizontal="right" vertical="center"/>
    </xf>
    <xf numFmtId="164" fontId="15" fillId="8" borderId="12" applyAlignment="1" pivotButton="0" quotePrefix="0" xfId="0">
      <alignment horizontal="right" vertical="center"/>
    </xf>
    <xf numFmtId="0" fontId="13" fillId="6" borderId="12" applyAlignment="1" pivotButton="0" quotePrefix="0" xfId="0">
      <alignment horizontal="left" vertical="center"/>
    </xf>
    <xf numFmtId="0" fontId="11" fillId="6" borderId="12" applyAlignment="1" pivotButton="0" quotePrefix="0" xfId="0">
      <alignment horizontal="left" vertical="center"/>
    </xf>
    <xf numFmtId="164" fontId="14" fillId="6" borderId="12" applyAlignment="1" pivotButton="0" quotePrefix="0" xfId="0">
      <alignment horizontal="right" vertical="center"/>
    </xf>
    <xf numFmtId="0" fontId="12" fillId="9" borderId="13" applyAlignment="1" pivotButton="0" quotePrefix="0" xfId="0">
      <alignment horizontal="left" vertical="center"/>
    </xf>
    <xf numFmtId="164" fontId="12" fillId="9" borderId="13" applyAlignment="1" pivotButton="0" quotePrefix="0" xfId="0">
      <alignment horizontal="right" vertical="center"/>
    </xf>
    <xf numFmtId="0" fontId="16" fillId="10" borderId="14" applyAlignment="1" pivotButton="0" quotePrefix="0" xfId="0">
      <alignment horizontal="right" vertical="center"/>
    </xf>
    <xf numFmtId="0" fontId="0" fillId="10" borderId="14" pivotButton="0" quotePrefix="0" xfId="0"/>
    <xf numFmtId="164" fontId="17" fillId="10" borderId="14" applyAlignment="1" pivotButton="0" quotePrefix="0" xfId="0">
      <alignment horizontal="right" vertical="center"/>
    </xf>
    <xf numFmtId="0" fontId="18" fillId="8" borderId="15" applyAlignment="1" pivotButton="0" quotePrefix="0" xfId="0">
      <alignment horizontal="left" vertical="center" indent="1"/>
    </xf>
    <xf numFmtId="0" fontId="0" fillId="8" borderId="15" pivotButton="0" quotePrefix="0" xfId="0"/>
    <xf numFmtId="0" fontId="19" fillId="0" borderId="16" applyAlignment="1" pivotButton="0" quotePrefix="0" xfId="0">
      <alignment horizontal="left" vertical="top" wrapText="1"/>
    </xf>
    <xf numFmtId="0" fontId="19" fillId="0" borderId="16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3" pivotButton="0" quotePrefix="0" xfId="0"/>
    <xf numFmtId="0" fontId="0" fillId="0" borderId="21" pivotButton="0" quotePrefix="0" xfId="0"/>
    <xf numFmtId="0" fontId="18" fillId="8" borderId="35" applyAlignment="1" pivotButton="0" quotePrefix="0" xfId="0">
      <alignment horizontal="left" vertical="center" indent="1"/>
    </xf>
    <xf numFmtId="0" fontId="19" fillId="0" borderId="34" applyAlignment="1" pivotButton="0" quotePrefix="0" xfId="0">
      <alignment horizontal="left" vertical="top" wrapText="1"/>
    </xf>
    <xf numFmtId="0" fontId="19" fillId="0" borderId="34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5"/>
  <sheetViews>
    <sheetView showGridLines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42" customHeight="1">
      <c r="A1" s="15" t="inlineStr">
        <is>
          <t>THORNFIELD LIFE SCIENCES MARKETING — FY2025 Standalone Financials</t>
        </is>
      </c>
    </row>
    <row r="2" ht="12" customHeight="1"/>
    <row r="3" ht="22" customHeight="1">
      <c r="A3" s="17" t="inlineStr">
        <is>
          <t>Entity:</t>
        </is>
      </c>
      <c r="B3" s="19" t="inlineStr">
        <is>
          <t>Thornfield Life Sciences Marketing, Inc.</t>
        </is>
      </c>
      <c r="C3" s="47" t="n"/>
      <c r="D3" s="47" t="n"/>
      <c r="E3" s="47" t="n"/>
      <c r="F3" s="47" t="n"/>
      <c r="G3" s="48" t="n"/>
    </row>
    <row r="4" ht="38" customHeight="1">
      <c r="A4" s="20" t="inlineStr">
        <is>
          <t>Scope:</t>
        </is>
      </c>
      <c r="B4" s="22" t="inlineStr">
        <is>
          <t>Thornfield-native client accounts only. Excludes accounts inherited from Bramwell Scientific Marketing (post-close subsidiary). No CUST IDs in this workbook overlap with the Bramwell FY2025 Standalone.</t>
        </is>
      </c>
      <c r="C4" s="49" t="n"/>
      <c r="D4" s="49" t="n"/>
      <c r="E4" s="49" t="n"/>
      <c r="F4" s="49" t="n"/>
      <c r="G4" s="50" t="n"/>
    </row>
    <row r="5" ht="22" customHeight="1">
      <c r="A5" s="20" t="inlineStr">
        <is>
          <t>Fiscal year:</t>
        </is>
      </c>
      <c r="B5" s="22" t="inlineStr">
        <is>
          <t>FY2025 (01/01/2025 – 12/31/2025)</t>
        </is>
      </c>
      <c r="C5" s="49" t="n"/>
      <c r="D5" s="49" t="n"/>
      <c r="E5" s="49" t="n"/>
      <c r="F5" s="49" t="n"/>
      <c r="G5" s="50" t="n"/>
    </row>
    <row r="6" ht="22" customHeight="1">
      <c r="A6" s="20" t="inlineStr">
        <is>
          <t>Currency:</t>
        </is>
      </c>
      <c r="B6" s="22" t="inlineStr">
        <is>
          <t>USD</t>
        </is>
      </c>
      <c r="C6" s="49" t="n"/>
      <c r="D6" s="49" t="n"/>
      <c r="E6" s="49" t="n"/>
      <c r="F6" s="49" t="n"/>
      <c r="G6" s="50" t="n"/>
    </row>
    <row r="7" ht="22" customHeight="1">
      <c r="A7" s="20" t="inlineStr">
        <is>
          <t>Prepared by:</t>
        </is>
      </c>
      <c r="B7" s="22" t="inlineStr">
        <is>
          <t>Ted Kowalczyk, VP Paid Media (owner of record)</t>
        </is>
      </c>
      <c r="C7" s="49" t="n"/>
      <c r="D7" s="49" t="n"/>
      <c r="E7" s="49" t="n"/>
      <c r="F7" s="49" t="n"/>
      <c r="G7" s="50" t="n"/>
    </row>
    <row r="8" ht="22" customHeight="1">
      <c r="A8" s="20" t="inlineStr">
        <is>
          <t>Compiled by:</t>
        </is>
      </c>
      <c r="B8" s="22" t="inlineStr">
        <is>
          <t>Finance (A. Rutherford) — management sign-off on file</t>
        </is>
      </c>
      <c r="C8" s="49" t="n"/>
      <c r="D8" s="49" t="n"/>
      <c r="E8" s="49" t="n"/>
      <c r="F8" s="49" t="n"/>
      <c r="G8" s="50" t="n"/>
    </row>
    <row r="9" ht="32" customHeight="1">
      <c r="A9" s="20" t="inlineStr">
        <is>
          <t>Status:</t>
        </is>
      </c>
      <c r="B9" s="22" t="inlineStr">
        <is>
          <t>Management-prepared; no external attestation performed. Figures are final for management-reporting purposes as of the FY2025 close.</t>
        </is>
      </c>
      <c r="C9" s="49" t="n"/>
      <c r="D9" s="49" t="n"/>
      <c r="E9" s="49" t="n"/>
      <c r="F9" s="49" t="n"/>
      <c r="G9" s="50" t="n"/>
    </row>
    <row r="10" ht="24" customHeight="1">
      <c r="A10" s="20" t="inlineStr">
        <is>
          <t>ERPNext source:</t>
        </is>
      </c>
      <c r="B10" s="22" t="inlineStr">
        <is>
          <t>erp.thornfieldlsm.com — Customer master filtered on account_origin = "Thornfield native"</t>
        </is>
      </c>
      <c r="C10" s="49" t="n"/>
      <c r="D10" s="49" t="n"/>
      <c r="E10" s="49" t="n"/>
      <c r="F10" s="49" t="n"/>
      <c r="G10" s="50" t="n"/>
    </row>
    <row r="11" ht="30" customHeight="1">
      <c r="A11" s="23" t="inlineStr">
        <is>
          <t>Related methodology:</t>
        </is>
      </c>
      <c r="B11" s="25" t="inlineStr">
        <is>
          <t>See Finance's FY2025 proration methodology for the combined-entity reporting convention that consumes these standalone figures.</t>
        </is>
      </c>
      <c r="C11" s="51" t="n"/>
      <c r="D11" s="51" t="n"/>
      <c r="E11" s="51" t="n"/>
      <c r="F11" s="51" t="n"/>
      <c r="G11" s="52" t="n"/>
    </row>
    <row r="12" ht="16" customHeight="1"/>
    <row r="13" ht="32" customHeight="1">
      <c r="A13" s="26" t="inlineStr">
        <is>
          <t>ERPNext Customer ID</t>
        </is>
      </c>
      <c r="B13" s="26" t="inlineStr">
        <is>
          <t>Client Name</t>
        </is>
      </c>
      <c r="C13" s="27" t="inlineStr">
        <is>
          <t>Q1 Revenue</t>
        </is>
      </c>
      <c r="D13" s="27" t="inlineStr">
        <is>
          <t>Q2 Revenue</t>
        </is>
      </c>
      <c r="E13" s="27" t="inlineStr">
        <is>
          <t>Q3 Revenue</t>
        </is>
      </c>
      <c r="F13" s="27" t="inlineStr">
        <is>
          <t>Q4 Revenue</t>
        </is>
      </c>
      <c r="G13" s="27" t="inlineStr">
        <is>
          <t>FY2025 Total Revenue</t>
        </is>
      </c>
    </row>
    <row r="14" ht="22" customHeight="1">
      <c r="A14" s="28" t="inlineStr">
        <is>
          <t>CUST-2025-0007</t>
        </is>
      </c>
      <c r="B14" s="29" t="inlineStr">
        <is>
          <t>Thistlewood Biosystems</t>
        </is>
      </c>
      <c r="C14" s="30" t="n">
        <v>23900</v>
      </c>
      <c r="D14" s="30" t="n">
        <v>27200</v>
      </c>
      <c r="E14" s="30" t="n">
        <v>28200</v>
      </c>
      <c r="F14" s="30" t="n">
        <v>29300</v>
      </c>
      <c r="G14" s="31" t="n">
        <v>108600</v>
      </c>
    </row>
    <row r="15" ht="22" customHeight="1">
      <c r="A15" s="32" t="inlineStr">
        <is>
          <t>CUST-2025-0012</t>
        </is>
      </c>
      <c r="B15" s="33" t="inlineStr">
        <is>
          <t>Amberline Research</t>
        </is>
      </c>
      <c r="C15" s="34" t="n">
        <v>30100</v>
      </c>
      <c r="D15" s="34" t="n">
        <v>34200</v>
      </c>
      <c r="E15" s="34" t="n">
        <v>35600</v>
      </c>
      <c r="F15" s="34" t="n">
        <v>36900</v>
      </c>
      <c r="G15" s="31" t="n">
        <v>136800</v>
      </c>
    </row>
    <row r="16" ht="22" customHeight="1">
      <c r="A16" s="28" t="inlineStr">
        <is>
          <t>CUST-2025-0019</t>
        </is>
      </c>
      <c r="B16" s="29" t="inlineStr">
        <is>
          <t>Silverbrook Bioscience</t>
        </is>
      </c>
      <c r="C16" s="30" t="n">
        <v>10700</v>
      </c>
      <c r="D16" s="30" t="n">
        <v>12200</v>
      </c>
      <c r="E16" s="30" t="n">
        <v>12700</v>
      </c>
      <c r="F16" s="30" t="n">
        <v>13200</v>
      </c>
      <c r="G16" s="31" t="n">
        <v>48800</v>
      </c>
    </row>
    <row r="17" ht="22" customHeight="1">
      <c r="A17" s="32" t="inlineStr">
        <is>
          <t>CUST-2025-0024</t>
        </is>
      </c>
      <c r="B17" s="33" t="inlineStr">
        <is>
          <t>Beckhurst Pharma Services</t>
        </is>
      </c>
      <c r="C17" s="34" t="n">
        <v>9300</v>
      </c>
      <c r="D17" s="34" t="n">
        <v>10600</v>
      </c>
      <c r="E17" s="34" t="n">
        <v>11000</v>
      </c>
      <c r="F17" s="34" t="n">
        <v>11400</v>
      </c>
      <c r="G17" s="31" t="n">
        <v>42300</v>
      </c>
    </row>
    <row r="18" ht="22" customHeight="1">
      <c r="A18" s="28" t="inlineStr">
        <is>
          <t>CUST-2025-0031</t>
        </is>
      </c>
      <c r="B18" s="29" t="inlineStr">
        <is>
          <t>Redcliff Bioinstruments</t>
        </is>
      </c>
      <c r="C18" s="30" t="n">
        <v>43400</v>
      </c>
      <c r="D18" s="30" t="n">
        <v>49400</v>
      </c>
      <c r="E18" s="30" t="n">
        <v>51300</v>
      </c>
      <c r="F18" s="30" t="n">
        <v>53300</v>
      </c>
      <c r="G18" s="31" t="n">
        <v>197400</v>
      </c>
    </row>
    <row r="19" ht="22" customHeight="1">
      <c r="A19" s="32" t="inlineStr">
        <is>
          <t>CUST-2025-0037</t>
        </is>
      </c>
      <c r="B19" s="33" t="inlineStr">
        <is>
          <t>Steeplechase Diagnostics</t>
        </is>
      </c>
      <c r="C19" s="34" t="n">
        <v>32300</v>
      </c>
      <c r="D19" s="34" t="n">
        <v>36700</v>
      </c>
      <c r="E19" s="34" t="n">
        <v>50750</v>
      </c>
      <c r="F19" s="34" t="n">
        <v>26950</v>
      </c>
      <c r="G19" s="31" t="n">
        <v>146700</v>
      </c>
    </row>
    <row r="20" ht="22" customHeight="1">
      <c r="A20" s="28" t="inlineStr">
        <is>
          <t>CUST-2025-0088</t>
        </is>
      </c>
      <c r="B20" s="29" t="inlineStr">
        <is>
          <t>Caldwell Diagnostics</t>
        </is>
      </c>
      <c r="C20" s="30" t="n">
        <v>26200</v>
      </c>
      <c r="D20" s="30" t="n">
        <v>29700</v>
      </c>
      <c r="E20" s="30" t="n">
        <v>30900</v>
      </c>
      <c r="F20" s="30" t="n">
        <v>32100</v>
      </c>
      <c r="G20" s="31" t="n">
        <v>118900</v>
      </c>
    </row>
    <row r="21" ht="22" customHeight="1">
      <c r="A21" s="32" t="inlineStr">
        <is>
          <t>CUST-2025-0041</t>
        </is>
      </c>
      <c r="B21" s="33" t="inlineStr">
        <is>
          <t>Kennebec Genomics</t>
        </is>
      </c>
      <c r="C21" s="34" t="n">
        <v>21500</v>
      </c>
      <c r="D21" s="34" t="n">
        <v>24500</v>
      </c>
      <c r="E21" s="34" t="n">
        <v>25400</v>
      </c>
      <c r="F21" s="34" t="n">
        <v>26400</v>
      </c>
      <c r="G21" s="31" t="n">
        <v>97800</v>
      </c>
    </row>
    <row r="22" ht="22" customHeight="1">
      <c r="A22" s="28" t="inlineStr">
        <is>
          <t>CUST-2025-0046</t>
        </is>
      </c>
      <c r="B22" s="29" t="inlineStr">
        <is>
          <t>Cliffside Instruments</t>
        </is>
      </c>
      <c r="C22" s="30" t="n">
        <v>15200</v>
      </c>
      <c r="D22" s="30" t="n">
        <v>17300</v>
      </c>
      <c r="E22" s="30" t="n">
        <v>18000</v>
      </c>
      <c r="F22" s="30" t="n">
        <v>18700</v>
      </c>
      <c r="G22" s="31" t="n">
        <v>69200</v>
      </c>
    </row>
    <row r="23" ht="22" customHeight="1">
      <c r="A23" s="32" t="inlineStr">
        <is>
          <t>CUST-2025-0052</t>
        </is>
      </c>
      <c r="B23" s="33" t="inlineStr">
        <is>
          <t>Ashcombe Diagnostics</t>
        </is>
      </c>
      <c r="C23" s="34" t="n">
        <v>28900</v>
      </c>
      <c r="D23" s="34" t="n">
        <v>32900</v>
      </c>
      <c r="E23" s="34" t="n">
        <v>34200</v>
      </c>
      <c r="F23" s="34" t="n">
        <v>35500</v>
      </c>
      <c r="G23" s="31" t="n">
        <v>131500</v>
      </c>
    </row>
    <row r="24" ht="22" customHeight="1">
      <c r="A24" s="28" t="inlineStr">
        <is>
          <t>CUST-2025-0059</t>
        </is>
      </c>
      <c r="B24" s="29" t="inlineStr">
        <is>
          <t>Hollowridge Molecular</t>
        </is>
      </c>
      <c r="C24" s="30" t="n">
        <v>22700</v>
      </c>
      <c r="D24" s="30" t="n">
        <v>25900</v>
      </c>
      <c r="E24" s="30" t="n">
        <v>26900</v>
      </c>
      <c r="F24" s="30" t="n">
        <v>27900</v>
      </c>
      <c r="G24" s="31" t="n">
        <v>103400</v>
      </c>
    </row>
    <row r="25" ht="22" customHeight="1">
      <c r="A25" s="32" t="inlineStr">
        <is>
          <t>CUST-2025-0064</t>
        </is>
      </c>
      <c r="B25" s="33" t="inlineStr">
        <is>
          <t>Cordwell Lab Systems</t>
        </is>
      </c>
      <c r="C25" s="34" t="n">
        <v>6500</v>
      </c>
      <c r="D25" s="34" t="n">
        <v>7400</v>
      </c>
      <c r="E25" s="34" t="n">
        <v>7700</v>
      </c>
      <c r="F25" s="34" t="n">
        <v>7900</v>
      </c>
      <c r="G25" s="31" t="n">
        <v>29500</v>
      </c>
    </row>
    <row r="26" ht="22" customHeight="1">
      <c r="A26" s="28" t="inlineStr">
        <is>
          <t>CUST-2025-0071</t>
        </is>
      </c>
      <c r="B26" s="29" t="inlineStr">
        <is>
          <t>Cypress Vaccines</t>
        </is>
      </c>
      <c r="C26" s="30" t="n">
        <v>35200</v>
      </c>
      <c r="D26" s="30" t="n">
        <v>40000</v>
      </c>
      <c r="E26" s="30" t="n">
        <v>41500</v>
      </c>
      <c r="F26" s="30" t="n">
        <v>43100</v>
      </c>
      <c r="G26" s="31" t="n">
        <v>159800</v>
      </c>
    </row>
    <row r="27" ht="22" customHeight="1">
      <c r="A27" s="32" t="inlineStr">
        <is>
          <t>CUST-2025-0076</t>
        </is>
      </c>
      <c r="B27" s="33" t="inlineStr">
        <is>
          <t>Elmridge Bioinformatics</t>
        </is>
      </c>
      <c r="C27" s="34" t="n">
        <v>26300</v>
      </c>
      <c r="D27" s="34" t="n">
        <v>29900</v>
      </c>
      <c r="E27" s="34" t="n">
        <v>31100</v>
      </c>
      <c r="F27" s="34" t="n">
        <v>32400</v>
      </c>
      <c r="G27" s="31" t="n">
        <v>119700</v>
      </c>
    </row>
    <row r="28" ht="22" customHeight="1">
      <c r="A28" s="28" t="inlineStr">
        <is>
          <t>CUST-2025-0082</t>
        </is>
      </c>
      <c r="B28" s="29" t="inlineStr">
        <is>
          <t>Fairhaven Reagents</t>
        </is>
      </c>
      <c r="C28" s="30" t="n">
        <v>7200</v>
      </c>
      <c r="D28" s="30" t="n">
        <v>8200</v>
      </c>
      <c r="E28" s="30" t="n">
        <v>8500</v>
      </c>
      <c r="F28" s="30" t="n">
        <v>8900</v>
      </c>
      <c r="G28" s="31" t="n">
        <v>32800</v>
      </c>
    </row>
    <row r="29" ht="22" customHeight="1">
      <c r="A29" s="32" t="inlineStr">
        <is>
          <t>CUST-2025-0091</t>
        </is>
      </c>
      <c r="B29" s="33" t="inlineStr">
        <is>
          <t>Ellisborough Bioinstruments</t>
        </is>
      </c>
      <c r="C29" s="34" t="n">
        <v>45900</v>
      </c>
      <c r="D29" s="34" t="n">
        <v>52200</v>
      </c>
      <c r="E29" s="34" t="n">
        <v>54300</v>
      </c>
      <c r="F29" s="34" t="n">
        <v>56300</v>
      </c>
      <c r="G29" s="31" t="n">
        <v>208700</v>
      </c>
    </row>
    <row r="30" ht="22" customHeight="1">
      <c r="A30" s="28" t="inlineStr">
        <is>
          <t>CUST-2025-0097</t>
        </is>
      </c>
      <c r="B30" s="29" t="inlineStr">
        <is>
          <t>Newforge Diagnostics</t>
        </is>
      </c>
      <c r="C30" s="30" t="n">
        <v>10000</v>
      </c>
      <c r="D30" s="30" t="n">
        <v>11400</v>
      </c>
      <c r="E30" s="30" t="n">
        <v>11900</v>
      </c>
      <c r="F30" s="30" t="n">
        <v>12300</v>
      </c>
      <c r="G30" s="31" t="n">
        <v>45600</v>
      </c>
    </row>
    <row r="31" ht="22" customHeight="1">
      <c r="A31" s="32" t="inlineStr">
        <is>
          <t>CUST-2025-0104</t>
        </is>
      </c>
      <c r="B31" s="33" t="inlineStr">
        <is>
          <t>Halbrook BioLabs</t>
        </is>
      </c>
      <c r="C31" s="34" t="n">
        <v>18400</v>
      </c>
      <c r="D31" s="34" t="n">
        <v>20900</v>
      </c>
      <c r="E31" s="34" t="n">
        <v>21800</v>
      </c>
      <c r="F31" s="34" t="n">
        <v>22600</v>
      </c>
      <c r="G31" s="31" t="n">
        <v>83700</v>
      </c>
    </row>
    <row r="32" ht="22" customHeight="1">
      <c r="A32" s="28" t="inlineStr">
        <is>
          <t>CUST-2025-0111</t>
        </is>
      </c>
      <c r="B32" s="29" t="inlineStr">
        <is>
          <t>Halston Molecular Diagnostics</t>
        </is>
      </c>
      <c r="C32" s="30" t="n">
        <v>68700</v>
      </c>
      <c r="D32" s="30" t="n">
        <v>78100</v>
      </c>
      <c r="E32" s="30" t="n">
        <v>114200</v>
      </c>
      <c r="F32" s="30" t="n">
        <v>51400</v>
      </c>
      <c r="G32" s="31" t="n">
        <v>312400</v>
      </c>
    </row>
    <row r="33" ht="22" customHeight="1">
      <c r="A33" s="32" t="inlineStr">
        <is>
          <t>CUST-2025-0117</t>
        </is>
      </c>
      <c r="B33" s="33" t="inlineStr">
        <is>
          <t>Halyard Immunology</t>
        </is>
      </c>
      <c r="C33" s="34" t="n">
        <v>41700</v>
      </c>
      <c r="D33" s="34" t="n">
        <v>47400</v>
      </c>
      <c r="E33" s="34" t="n">
        <v>49300</v>
      </c>
      <c r="F33" s="34" t="n">
        <v>51200</v>
      </c>
      <c r="G33" s="31" t="n">
        <v>189600</v>
      </c>
    </row>
    <row r="34" ht="22" customHeight="1">
      <c r="A34" s="28" t="inlineStr">
        <is>
          <t>CUST-2025-0123</t>
        </is>
      </c>
      <c r="B34" s="29" t="inlineStr">
        <is>
          <t>Hollowfield Therapeutics</t>
        </is>
      </c>
      <c r="C34" s="30" t="n">
        <v>17200</v>
      </c>
      <c r="D34" s="30" t="n">
        <v>19600</v>
      </c>
      <c r="E34" s="30" t="n">
        <v>20400</v>
      </c>
      <c r="F34" s="30" t="n">
        <v>21200</v>
      </c>
      <c r="G34" s="31" t="n">
        <v>78400</v>
      </c>
    </row>
    <row r="35" ht="22" customHeight="1">
      <c r="A35" s="32" t="inlineStr">
        <is>
          <t>CUST-2025-0129</t>
        </is>
      </c>
      <c r="B35" s="33" t="inlineStr">
        <is>
          <t>Ironwood Diagnostics</t>
        </is>
      </c>
      <c r="C35" s="34" t="n">
        <v>27100</v>
      </c>
      <c r="D35" s="34" t="n">
        <v>30900</v>
      </c>
      <c r="E35" s="34" t="n">
        <v>32100</v>
      </c>
      <c r="F35" s="34" t="n">
        <v>33300</v>
      </c>
      <c r="G35" s="31" t="n">
        <v>123400</v>
      </c>
    </row>
    <row r="36" ht="22" customHeight="1">
      <c r="A36" s="28" t="inlineStr">
        <is>
          <t>CUST-2025-0296</t>
        </is>
      </c>
      <c r="B36" s="29" t="inlineStr">
        <is>
          <t>Kestrel Biosciences</t>
        </is>
      </c>
      <c r="C36" s="30" t="n">
        <v>40100</v>
      </c>
      <c r="D36" s="30" t="n">
        <v>45600</v>
      </c>
      <c r="E36" s="30" t="n">
        <v>47400</v>
      </c>
      <c r="F36" s="30" t="n">
        <v>49200</v>
      </c>
      <c r="G36" s="31" t="n">
        <v>182300</v>
      </c>
    </row>
    <row r="37" ht="22" customHeight="1">
      <c r="A37" s="32" t="inlineStr">
        <is>
          <t>CUST-2025-0138</t>
        </is>
      </c>
      <c r="B37" s="33" t="inlineStr">
        <is>
          <t>Kingsley Molecular</t>
        </is>
      </c>
      <c r="C37" s="34" t="n">
        <v>25100</v>
      </c>
      <c r="D37" s="34" t="n">
        <v>28600</v>
      </c>
      <c r="E37" s="34" t="n">
        <v>29700</v>
      </c>
      <c r="F37" s="34" t="n">
        <v>30800</v>
      </c>
      <c r="G37" s="31" t="n">
        <v>114200</v>
      </c>
    </row>
    <row r="38" ht="22" customHeight="1">
      <c r="A38" s="28" t="inlineStr">
        <is>
          <t>CUST-2025-0146</t>
        </is>
      </c>
      <c r="B38" s="29" t="inlineStr">
        <is>
          <t>Larkspur Diagnostics</t>
        </is>
      </c>
      <c r="C38" s="30" t="n">
        <v>14300</v>
      </c>
      <c r="D38" s="30" t="n">
        <v>16200</v>
      </c>
      <c r="E38" s="30" t="n">
        <v>20000</v>
      </c>
      <c r="F38" s="30" t="n">
        <v>14400</v>
      </c>
      <c r="G38" s="31" t="n">
        <v>64900</v>
      </c>
    </row>
    <row r="39" ht="22" customHeight="1">
      <c r="A39" s="32" t="inlineStr">
        <is>
          <t>CUST-2025-0033</t>
        </is>
      </c>
      <c r="B39" s="33" t="inlineStr">
        <is>
          <t>Marlstone Bioscience</t>
        </is>
      </c>
      <c r="C39" s="34" t="n">
        <v>100000</v>
      </c>
      <c r="D39" s="34" t="n">
        <v>105000</v>
      </c>
      <c r="E39" s="34" t="n">
        <v>112100</v>
      </c>
      <c r="F39" s="34" t="n">
        <v>187400</v>
      </c>
      <c r="G39" s="31" t="n">
        <v>504500</v>
      </c>
    </row>
    <row r="40" ht="22" customHeight="1">
      <c r="A40" s="28" t="inlineStr">
        <is>
          <t>CUST-2025-0152</t>
        </is>
      </c>
      <c r="B40" s="29" t="inlineStr">
        <is>
          <t>Cranmere Cell Lines</t>
        </is>
      </c>
      <c r="C40" s="30" t="n">
        <v>63300</v>
      </c>
      <c r="D40" s="30" t="n">
        <v>71900</v>
      </c>
      <c r="E40" s="30" t="n">
        <v>74800</v>
      </c>
      <c r="F40" s="30" t="n">
        <v>77600</v>
      </c>
      <c r="G40" s="31" t="n">
        <v>287600</v>
      </c>
    </row>
    <row r="41" ht="22" customHeight="1">
      <c r="A41" s="32" t="inlineStr">
        <is>
          <t>CUST-2025-0161</t>
        </is>
      </c>
      <c r="B41" s="33" t="inlineStr">
        <is>
          <t>Milbrook Sciences</t>
        </is>
      </c>
      <c r="C41" s="34" t="n">
        <v>19500</v>
      </c>
      <c r="D41" s="34" t="n">
        <v>22200</v>
      </c>
      <c r="E41" s="34" t="n">
        <v>23100</v>
      </c>
      <c r="F41" s="34" t="n">
        <v>24000</v>
      </c>
      <c r="G41" s="31" t="n">
        <v>88800</v>
      </c>
    </row>
    <row r="42" ht="22" customHeight="1">
      <c r="A42" s="28" t="inlineStr">
        <is>
          <t>CUST-2025-0167</t>
        </is>
      </c>
      <c r="B42" s="29" t="inlineStr">
        <is>
          <t>Northstar Assay Systems</t>
        </is>
      </c>
      <c r="C42" s="30" t="n">
        <v>31100</v>
      </c>
      <c r="D42" s="30" t="n">
        <v>35300</v>
      </c>
      <c r="E42" s="30" t="n">
        <v>36700</v>
      </c>
      <c r="F42" s="30" t="n">
        <v>38200</v>
      </c>
      <c r="G42" s="31" t="n">
        <v>141300</v>
      </c>
    </row>
    <row r="43" ht="22" customHeight="1">
      <c r="A43" s="32" t="inlineStr">
        <is>
          <t>CUST-2025-0173</t>
        </is>
      </c>
      <c r="B43" s="33" t="inlineStr">
        <is>
          <t>Norwood Analytical</t>
        </is>
      </c>
      <c r="C43" s="34" t="n">
        <v>38800</v>
      </c>
      <c r="D43" s="34" t="n">
        <v>44100</v>
      </c>
      <c r="E43" s="34" t="n">
        <v>45900</v>
      </c>
      <c r="F43" s="34" t="n">
        <v>47700</v>
      </c>
      <c r="G43" s="31" t="n">
        <v>176500</v>
      </c>
    </row>
    <row r="44" ht="22" customHeight="1">
      <c r="A44" s="28" t="inlineStr">
        <is>
          <t>CUST-2025-0179</t>
        </is>
      </c>
      <c r="B44" s="29" t="inlineStr">
        <is>
          <t>Petrichor Genomics</t>
        </is>
      </c>
      <c r="C44" s="30" t="n">
        <v>59000</v>
      </c>
      <c r="D44" s="30" t="n">
        <v>67100</v>
      </c>
      <c r="E44" s="30" t="n">
        <v>69800</v>
      </c>
      <c r="F44" s="30" t="n">
        <v>72400</v>
      </c>
      <c r="G44" s="31" t="n">
        <v>268300</v>
      </c>
    </row>
    <row r="45" ht="22" customHeight="1">
      <c r="A45" s="32" t="inlineStr">
        <is>
          <t>CUST-2025-0184</t>
        </is>
      </c>
      <c r="B45" s="33" t="inlineStr">
        <is>
          <t>Selwood Cell Systems</t>
        </is>
      </c>
      <c r="C45" s="34" t="n">
        <v>19400</v>
      </c>
      <c r="D45" s="34" t="n">
        <v>22100</v>
      </c>
      <c r="E45" s="34" t="n">
        <v>28800</v>
      </c>
      <c r="F45" s="34" t="n">
        <v>18000</v>
      </c>
      <c r="G45" s="31" t="n">
        <v>88300</v>
      </c>
    </row>
    <row r="46" ht="22" customHeight="1">
      <c r="A46" s="28" t="inlineStr">
        <is>
          <t>CUST-2025-0297</t>
        </is>
      </c>
      <c r="B46" s="29" t="inlineStr">
        <is>
          <t>Ravencrest Reagents</t>
        </is>
      </c>
      <c r="C46" s="30" t="n">
        <v>13300</v>
      </c>
      <c r="D46" s="30" t="n">
        <v>15100</v>
      </c>
      <c r="E46" s="30" t="n">
        <v>15700</v>
      </c>
      <c r="F46" s="30" t="n">
        <v>16200</v>
      </c>
      <c r="G46" s="31" t="n">
        <v>60300</v>
      </c>
    </row>
    <row r="47" ht="22" customHeight="1">
      <c r="A47" s="32" t="inlineStr">
        <is>
          <t>CUST-2025-0193</t>
        </is>
      </c>
      <c r="B47" s="33" t="inlineStr">
        <is>
          <t>Vantage Bioinstruments</t>
        </is>
      </c>
      <c r="C47" s="34" t="n">
        <v>28000</v>
      </c>
      <c r="D47" s="34" t="n">
        <v>31800</v>
      </c>
      <c r="E47" s="34" t="n">
        <v>33100</v>
      </c>
      <c r="F47" s="34" t="n">
        <v>34300</v>
      </c>
      <c r="G47" s="31" t="n">
        <v>127200</v>
      </c>
    </row>
    <row r="48" ht="22" customHeight="1">
      <c r="A48" s="28" t="inlineStr">
        <is>
          <t>CUST-2025-0204</t>
        </is>
      </c>
      <c r="B48" s="29" t="inlineStr">
        <is>
          <t>Yardley Molecular Diagnostics</t>
        </is>
      </c>
      <c r="C48" s="30" t="n">
        <v>16200</v>
      </c>
      <c r="D48" s="30" t="n">
        <v>18400</v>
      </c>
      <c r="E48" s="30" t="n">
        <v>19100</v>
      </c>
      <c r="F48" s="30" t="n">
        <v>19900</v>
      </c>
      <c r="G48" s="31" t="n">
        <v>73600</v>
      </c>
    </row>
    <row r="49" ht="22" customHeight="1">
      <c r="A49" s="32" t="inlineStr">
        <is>
          <t>CUST-2025-0308</t>
        </is>
      </c>
      <c r="B49" s="33" t="inlineStr">
        <is>
          <t>Rowanpine Analytical Group</t>
        </is>
      </c>
      <c r="C49" s="34" t="n">
        <v>33500</v>
      </c>
      <c r="D49" s="34" t="n">
        <v>38100</v>
      </c>
      <c r="E49" s="34" t="n">
        <v>39600</v>
      </c>
      <c r="F49" s="34" t="n">
        <v>41200</v>
      </c>
      <c r="G49" s="31" t="n">
        <v>152400</v>
      </c>
    </row>
    <row r="50" ht="22" customHeight="1">
      <c r="A50" s="28" t="inlineStr">
        <is>
          <t>CUST-2025-0213</t>
        </is>
      </c>
      <c r="B50" s="29" t="inlineStr">
        <is>
          <t>Coppergate Diagnostics</t>
        </is>
      </c>
      <c r="C50" s="30" t="n">
        <v>37000</v>
      </c>
      <c r="D50" s="30" t="n">
        <v>42100</v>
      </c>
      <c r="E50" s="30" t="n">
        <v>64000</v>
      </c>
      <c r="F50" s="30" t="n">
        <v>25100</v>
      </c>
      <c r="G50" s="31" t="n">
        <v>168200</v>
      </c>
    </row>
    <row r="51" ht="22" customHeight="1">
      <c r="A51" s="32" t="inlineStr">
        <is>
          <t>CUST-2025-0219</t>
        </is>
      </c>
      <c r="B51" s="33" t="inlineStr">
        <is>
          <t>Everleigh Bioinstruments</t>
        </is>
      </c>
      <c r="C51" s="34" t="n">
        <v>8000</v>
      </c>
      <c r="D51" s="34" t="n">
        <v>9100</v>
      </c>
      <c r="E51" s="34" t="n">
        <v>9400</v>
      </c>
      <c r="F51" s="34" t="n">
        <v>9700</v>
      </c>
      <c r="G51" s="31" t="n">
        <v>36200</v>
      </c>
    </row>
    <row r="52" ht="22" customHeight="1">
      <c r="A52" s="28" t="inlineStr">
        <is>
          <t>CUST-2025-0225</t>
        </is>
      </c>
      <c r="B52" s="29" t="inlineStr">
        <is>
          <t>Glenmore Diagnostics</t>
        </is>
      </c>
      <c r="C52" s="30" t="n">
        <v>20400</v>
      </c>
      <c r="D52" s="30" t="n">
        <v>23200</v>
      </c>
      <c r="E52" s="30" t="n">
        <v>24100</v>
      </c>
      <c r="F52" s="30" t="n">
        <v>24900</v>
      </c>
      <c r="G52" s="31" t="n">
        <v>92600</v>
      </c>
    </row>
    <row r="53" ht="22" customHeight="1">
      <c r="A53" s="32" t="inlineStr">
        <is>
          <t>CUST-2025-0231</t>
        </is>
      </c>
      <c r="B53" s="33" t="inlineStr">
        <is>
          <t>Ivybridge Reagent Labs</t>
        </is>
      </c>
      <c r="C53" s="34" t="n">
        <v>49400</v>
      </c>
      <c r="D53" s="34" t="n">
        <v>56100</v>
      </c>
      <c r="E53" s="34" t="n">
        <v>58400</v>
      </c>
      <c r="F53" s="34" t="n">
        <v>60600</v>
      </c>
      <c r="G53" s="31" t="n">
        <v>224500</v>
      </c>
    </row>
    <row r="54" ht="22" customHeight="1">
      <c r="A54" s="28" t="inlineStr">
        <is>
          <t>CUST-2025-0236</t>
        </is>
      </c>
      <c r="B54" s="29" t="inlineStr">
        <is>
          <t>Vantage Biologics</t>
        </is>
      </c>
      <c r="C54" s="30" t="n">
        <v>12500</v>
      </c>
      <c r="D54" s="30" t="n">
        <v>14200</v>
      </c>
      <c r="E54" s="30" t="n">
        <v>14700</v>
      </c>
      <c r="F54" s="30" t="n">
        <v>15300</v>
      </c>
      <c r="G54" s="31" t="n">
        <v>56700</v>
      </c>
    </row>
    <row r="55" ht="22" customHeight="1">
      <c r="A55" s="32" t="inlineStr">
        <is>
          <t>CUST-2025-0241</t>
        </is>
      </c>
      <c r="B55" s="33" t="inlineStr">
        <is>
          <t>Verdant Cell Therapeutics</t>
        </is>
      </c>
      <c r="C55" s="34" t="n">
        <v>54300</v>
      </c>
      <c r="D55" s="34" t="n">
        <v>61700</v>
      </c>
      <c r="E55" s="34" t="n">
        <v>64200</v>
      </c>
      <c r="F55" s="34" t="n">
        <v>66700</v>
      </c>
      <c r="G55" s="31" t="n">
        <v>246900</v>
      </c>
    </row>
    <row r="56" ht="22" customHeight="1">
      <c r="A56" s="28" t="inlineStr">
        <is>
          <t>CUST-2025-0245</t>
        </is>
      </c>
      <c r="B56" s="29" t="inlineStr">
        <is>
          <t>Wetherby Analytical</t>
        </is>
      </c>
      <c r="C56" s="30" t="n">
        <v>8700</v>
      </c>
      <c r="D56" s="30" t="n">
        <v>9900</v>
      </c>
      <c r="E56" s="30" t="n">
        <v>10200</v>
      </c>
      <c r="F56" s="30" t="n">
        <v>10600</v>
      </c>
      <c r="G56" s="31" t="n">
        <v>39400</v>
      </c>
    </row>
    <row r="57" ht="22" customHeight="1">
      <c r="A57" s="32" t="inlineStr">
        <is>
          <t>CUST-2025-0248</t>
        </is>
      </c>
      <c r="B57" s="33" t="inlineStr">
        <is>
          <t>Whitmarsh Cellular</t>
        </is>
      </c>
      <c r="C57" s="34" t="n">
        <v>11500</v>
      </c>
      <c r="D57" s="34" t="n">
        <v>13100</v>
      </c>
      <c r="E57" s="34" t="n">
        <v>13600</v>
      </c>
      <c r="F57" s="34" t="n">
        <v>14200</v>
      </c>
      <c r="G57" s="31" t="n">
        <v>52400</v>
      </c>
    </row>
    <row r="58" ht="22" customHeight="1">
      <c r="A58" s="28" t="inlineStr">
        <is>
          <t>CUST-2025-0201</t>
        </is>
      </c>
      <c r="B58" s="29" t="inlineStr">
        <is>
          <t>Wrenfield Scientific</t>
        </is>
      </c>
      <c r="C58" s="30" t="n">
        <v>37900</v>
      </c>
      <c r="D58" s="30" t="n">
        <v>43100</v>
      </c>
      <c r="E58" s="30" t="n">
        <v>44800</v>
      </c>
      <c r="F58" s="30" t="n">
        <v>46600</v>
      </c>
      <c r="G58" s="31" t="n">
        <v>172400</v>
      </c>
    </row>
    <row r="59" ht="28" customHeight="1">
      <c r="A59" s="35" t="inlineStr">
        <is>
          <t>TOTAL — 45 clients</t>
        </is>
      </c>
      <c r="B59" s="35" t="inlineStr">
        <is>
          <t>Thornfield FY2025 Standalone</t>
        </is>
      </c>
      <c r="C59" s="36">
        <f>SUM(C14:C58)</f>
        <v>1309700</v>
      </c>
      <c r="D59" s="36">
        <f>SUM(D14:D58)</f>
        <v>1480600</v>
      </c>
      <c r="E59" s="36">
        <f>SUM(E14:E58)</f>
        <v>1616950</v>
      </c>
      <c r="F59" s="36">
        <f>SUM(F14:F58)</f>
        <v>1597250</v>
      </c>
      <c r="G59" s="36">
        <f>SUM(C59:F59)</f>
        <v>6004500</v>
      </c>
    </row>
    <row r="60" ht="14" customHeight="1"/>
    <row r="61" ht="36" customHeight="1">
      <c r="A61" s="37" t="inlineStr">
        <is>
          <t>FY2025 Total:</t>
        </is>
      </c>
      <c r="B61" s="53" t="n"/>
      <c r="C61" s="53" t="n"/>
      <c r="D61" s="53" t="n"/>
      <c r="E61" s="53" t="n"/>
      <c r="F61" s="54" t="n"/>
      <c r="G61" s="39">
        <f>G59</f>
        <v>6004500</v>
      </c>
    </row>
    <row r="62" ht="16" customHeight="1"/>
    <row r="63" ht="26" customHeight="1">
      <c r="A63" s="57" t="inlineStr">
        <is>
          <t>Notes</t>
        </is>
      </c>
      <c r="B63" s="55" t="n"/>
      <c r="C63" s="55" t="n"/>
      <c r="D63" s="55" t="n"/>
      <c r="E63" s="55" t="n"/>
      <c r="F63" s="55" t="n"/>
      <c r="G63" s="55" t="n"/>
    </row>
    <row r="64" ht="28" customHeight="1">
      <c r="A64" s="58" t="inlineStr">
        <is>
          <t>•  Tab owner (per document-control convention): Ted Kowalczyk (TF-0018), VP Paid Media. Finance-compiled; management sign-off retained on file. Not for external distribution.</t>
        </is>
      </c>
      <c r="B64" s="56" t="n"/>
      <c r="C64" s="56" t="n"/>
      <c r="D64" s="56" t="n"/>
      <c r="E64" s="56" t="n"/>
      <c r="F64" s="56" t="n"/>
      <c r="G64" s="56" t="n"/>
    </row>
    <row r="65" ht="48" customHeight="1">
      <c r="A65" s="58" t="inlineStr">
        <is>
          <t>•  Client roster is 45 Thornfield-native accounts active at any point during FY2025 (active_clients_pre_acquisition per HR/Ops headcount reconciliation). Accounts inherited from Bramwell Scientific Marketing on the 09/01/2025 close date are reported separately in the Bramwell FY2025 Standalone workbook and are not summed here.</t>
        </is>
      </c>
      <c r="B65" s="56" t="n"/>
      <c r="C65" s="56" t="n"/>
      <c r="D65" s="56" t="n"/>
      <c r="E65" s="56" t="n"/>
      <c r="F65" s="56" t="n"/>
      <c r="G65" s="56" t="n"/>
    </row>
    <row r="66" ht="40" customHeight="1">
      <c r="A66" s="58" t="inlineStr">
        <is>
          <t>•  Revenue is booked on the Thornfield ERPNext instance (Frappe/ERPNext v14, erp.thornfieldlsm.com) from the Sales Invoice ledger; figures reflect invoiced service fees and retainers only. Managed platform spend passed through to media vendors is excluded.</t>
        </is>
      </c>
      <c r="B66" s="56" t="n"/>
      <c r="C66" s="56" t="n"/>
      <c r="D66" s="56" t="n"/>
      <c r="E66" s="56" t="n"/>
      <c r="F66" s="56" t="n"/>
      <c r="G66" s="56" t="n"/>
    </row>
    <row r="67" ht="30" customHeight="1">
      <c r="A67" s="58" t="inlineStr">
        <is>
          <t>•  Quarterly columns aggregate Sales Invoice postings by invoice date within each calendar quarter of FY2025. Row totals are the sum of Q1–Q4; the column total row is the sum down each quarter.</t>
        </is>
      </c>
      <c r="B67" s="56" t="n"/>
      <c r="C67" s="56" t="n"/>
      <c r="D67" s="56" t="n"/>
      <c r="E67" s="56" t="n"/>
      <c r="F67" s="56" t="n"/>
      <c r="G67" s="56" t="n"/>
    </row>
    <row r="68" ht="36" customHeight="1">
      <c r="A68" s="58" t="inlineStr">
        <is>
          <t>•  Marlstone Bioscience (CUST-2025-0033) Q4 reflects the raw Sales Invoice figure ($187,400) pre-adjustment; credit memo CM-2025-0088 ($4,500) is applied downstream in the Q4 reconciliation workpaper and does not appear in this standalone.</t>
        </is>
      </c>
      <c r="B68" s="56" t="n"/>
      <c r="C68" s="56" t="n"/>
      <c r="D68" s="56" t="n"/>
      <c r="E68" s="56" t="n"/>
      <c r="F68" s="56" t="n"/>
      <c r="G68" s="56" t="n"/>
    </row>
    <row r="69" ht="48" customHeight="1">
      <c r="A69" s="58" t="inlineStr">
        <is>
          <t>•  Caldwell Diagnostics (CUST-2025-0088) Q4 standalone revenue ($32,100) excludes $13,980 of pass-through platform spend billed at cost within the fixed monthly retainer; the Q4 billing export ($46,080 = 3 × $15,360 MSA retainer) captures the gross retainer amount. Bridge: $32,100 service fee + $13,980 pass-through platform = $46,080.</t>
        </is>
      </c>
      <c r="B69" s="56" t="n"/>
      <c r="C69" s="56" t="n"/>
      <c r="D69" s="56" t="n"/>
      <c r="E69" s="56" t="n"/>
      <c r="F69" s="56" t="n"/>
      <c r="G69" s="56" t="n"/>
    </row>
    <row r="70" ht="28" customHeight="1">
      <c r="A70" s="59" t="inlineStr">
        <is>
          <t>•  Per capita: $6,000,000 ÷ 54 FTEs = ~$111K revenue per employee (Thornfield pre-acquisition headcount).</t>
        </is>
      </c>
      <c r="B70" s="56" t="n"/>
      <c r="C70" s="56" t="n"/>
      <c r="D70" s="56" t="n"/>
      <c r="E70" s="56" t="n"/>
      <c r="F70" s="56" t="n"/>
      <c r="G70" s="56" t="n"/>
    </row>
    <row r="71" ht="16" customHeight="1">
      <c r="A71" s="58" t="inlineStr">
        <is>
          <t>•  Feeds into the FY2025 combined-entity headline figure per Finance's FY2025 proration methodology.</t>
        </is>
      </c>
      <c r="B71" s="56" t="n"/>
      <c r="C71" s="56" t="n"/>
      <c r="D71" s="56" t="n"/>
      <c r="E71" s="56" t="n"/>
      <c r="F71" s="56" t="n"/>
      <c r="G71" s="56" t="n"/>
    </row>
    <row r="72" ht="24" customHeight="1"/>
    <row r="73" ht="16" customHeight="1">
      <c r="A73" s="44" t="inlineStr">
        <is>
          <t>Ted Kowalczyk</t>
        </is>
      </c>
    </row>
    <row r="74" ht="20" customHeight="1">
      <c r="A74" s="45" t="inlineStr">
        <is>
          <t>VP, Paid Media — Thornfield Life Sciences Marketing, Inc.</t>
        </is>
      </c>
    </row>
    <row r="75" ht="18" customHeight="1">
      <c r="A75" s="60" t="inlineStr">
        <is>
          <t>Filed to /Finance/Financials/ — FY2025 close pack</t>
        </is>
      </c>
      <c r="B75" s="46" t="n"/>
      <c r="C75" s="46" t="n"/>
      <c r="D75" s="46" t="n"/>
      <c r="E75" s="46" t="n"/>
      <c r="F75" s="46" t="n"/>
      <c r="G75" s="46" t="n"/>
    </row>
    <row r="76" ht="18" customHeight="1"/>
  </sheetData>
  <mergeCells count="23">
    <mergeCell ref="B8:G8"/>
    <mergeCell ref="A72:G72"/>
    <mergeCell ref="A68:G68"/>
    <mergeCell ref="A63:G63"/>
    <mergeCell ref="B10:G10"/>
    <mergeCell ref="A67:G67"/>
    <mergeCell ref="B9:G9"/>
    <mergeCell ref="A64:G64"/>
    <mergeCell ref="A73:G73"/>
    <mergeCell ref="B6:G6"/>
    <mergeCell ref="A1:G1"/>
    <mergeCell ref="A70:G70"/>
    <mergeCell ref="B5:G5"/>
    <mergeCell ref="A69:G69"/>
    <mergeCell ref="B4:G4"/>
    <mergeCell ref="A65:G65"/>
    <mergeCell ref="B7:G7"/>
    <mergeCell ref="B3:G3"/>
    <mergeCell ref="A66:G66"/>
    <mergeCell ref="A74:G74"/>
    <mergeCell ref="A61:F61"/>
    <mergeCell ref="A71:G71"/>
    <mergeCell ref="B11:G11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