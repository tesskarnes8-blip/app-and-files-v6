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2026 Managed Spend" sheetId="1" state="visible" r:id="rId1"/>
  </sheets>
  <definedNames>
    <definedName name="_xlnm.Print_Titles" localSheetId="0">'Q1 2026 Managed Spend'!$9:$9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1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  <font>
      <name val="Calibri"/>
      <i val="1"/>
      <color rgb="00555555"/>
      <sz val="9"/>
    </font>
    <font>
      <name val="Calibri"/>
      <b val="1"/>
      <i val="1"/>
      <color rgb="00FFFFFF"/>
      <sz val="10"/>
    </font>
    <font>
      <name val="Segoe UI"/>
      <b val="1"/>
      <color rgb="00FFFFFF"/>
      <sz val="13"/>
    </font>
    <font>
      <name val="Segoe UI"/>
      <b val="1"/>
      <color rgb="00475569"/>
      <sz val="9.5"/>
    </font>
    <font>
      <name val="Segoe UI"/>
      <color rgb="001E293B"/>
      <sz val="9.5"/>
    </font>
    <font>
      <name val="Segoe UI"/>
      <b val="1"/>
      <color rgb="00FFFFFF"/>
      <sz val="10"/>
    </font>
    <font>
      <name val="Segoe UI"/>
      <color rgb="00334155"/>
      <sz val="9.5"/>
    </font>
    <font>
      <name val="Segoe UI"/>
      <b val="1"/>
      <color rgb="000F172A"/>
      <sz val="9.5"/>
    </font>
    <font>
      <name val="Segoe UI"/>
      <color rgb="00475569"/>
      <sz val="9.5"/>
    </font>
    <font>
      <name val="Segoe UI"/>
      <color rgb="000F172A"/>
      <sz val="9.5"/>
    </font>
    <font>
      <name val="Segoe UI"/>
      <i val="1"/>
      <color rgb="0064748B"/>
      <sz val="9"/>
    </font>
    <font>
      <name val="Segoe UI"/>
      <b val="1"/>
      <color rgb="000F172A"/>
      <sz val="10"/>
    </font>
    <font>
      <name val="Segoe UI"/>
      <b val="1"/>
      <color rgb="00FFFFFF"/>
      <sz val="10.5"/>
    </font>
    <font>
      <name val="Segoe UI"/>
      <i val="1"/>
      <color rgb="FF475569"/>
      <sz val="9"/>
    </font>
  </fonts>
  <fills count="9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6B7A8F"/>
        <bgColor rgb="006B7A8F"/>
      </patternFill>
    </fill>
    <fill>
      <patternFill patternType="solid">
        <fgColor rgb="00D9E1EC"/>
        <bgColor rgb="00D9E1EC"/>
      </patternFill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E2E8F0"/>
        <bgColor rgb="00E2E8F0"/>
      </patternFill>
    </fill>
  </fills>
  <borders count="28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CBD5E1"/>
      </left>
      <top style="thin">
        <color rgb="00CBD5E1"/>
      </top>
    </border>
    <border>
      <top style="thin">
        <color rgb="00CBD5E1"/>
      </top>
    </border>
    <border>
      <right style="thin">
        <color rgb="00CBD5E1"/>
      </right>
      <top style="thin">
        <color rgb="00CBD5E1"/>
      </top>
    </border>
    <border>
      <left style="thin">
        <color rgb="00CBD5E1"/>
      </left>
    </border>
    <border/>
    <border>
      <right style="thin">
        <color rgb="00CBD5E1"/>
      </right>
    </border>
    <border>
      <left style="thin">
        <color rgb="00CBD5E1"/>
      </left>
      <bottom style="thin">
        <color rgb="00CBD5E1"/>
      </bottom>
    </border>
    <border>
      <bottom style="thin">
        <color rgb="00CBD5E1"/>
      </bottom>
    </border>
    <border>
      <right style="thin">
        <color rgb="00CBD5E1"/>
      </right>
      <bottom style="thin">
        <color rgb="00CBD5E1"/>
      </bottom>
    </border>
    <border>
      <top style="thin">
        <color rgb="00334155"/>
      </top>
      <bottom style="medium">
        <color rgb="000F172A"/>
      </bottom>
    </border>
    <border>
      <bottom style="thin">
        <color rgb="00E2E8F0"/>
      </bottom>
    </border>
    <border>
      <top style="thin">
        <color rgb="00CBD5E1"/>
      </top>
      <bottom style="thin">
        <color rgb="00CBD5E1"/>
      </bottom>
    </border>
    <border>
      <top style="medium">
        <color rgb="000F172A"/>
      </top>
      <bottom style="double">
        <color rgb="000F172A"/>
      </bottom>
    </border>
    <border>
      <left/>
      <right style="thin">
        <color rgb="00CBD5E1"/>
      </right>
      <top/>
      <bottom/>
      <diagonal/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/>
      <bottom style="thin">
        <color rgb="00E2E8F0"/>
      </bottom>
      <diagonal/>
    </border>
    <border>
      <left/>
      <right/>
      <top/>
      <bottom style="thin">
        <color rgb="00CBD5E1"/>
      </bottom>
      <diagonal/>
    </border>
    <border>
      <left/>
      <right style="thin">
        <color rgb="00CBD5E1"/>
      </right>
      <top/>
      <bottom style="thin">
        <color rgb="00CBD5E1"/>
      </bottom>
      <diagonal/>
    </border>
    <border>
      <right style="thin">
        <color rgb="00CBD5E1"/>
      </right>
      <bottom/>
    </border>
    <border>
      <right style="thin">
        <color rgb="00CBD5E1"/>
      </right>
      <top style="thin">
        <color rgb="00CBD5E1"/>
      </top>
      <bottom/>
    </border>
    <border>
      <right/>
      <bottom style="thin">
        <color rgb="00E2E8F0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164" fontId="3" fillId="0" borderId="1" pivotButton="0" quotePrefix="0" xfId="0"/>
    <xf numFmtId="0" fontId="5" fillId="0" borderId="1" applyAlignment="1" pivotButton="0" quotePrefix="0" xfId="0">
      <alignment vertical="top" wrapText="1"/>
    </xf>
    <xf numFmtId="0" fontId="6" fillId="3" borderId="0" applyAlignment="1" pivotButton="0" quotePrefix="0" xfId="0">
      <alignment horizontal="left" vertical="center" indent="1"/>
    </xf>
    <xf numFmtId="0" fontId="2" fillId="4" borderId="1" applyAlignment="1" pivotButton="0" quotePrefix="0" xfId="0">
      <alignment horizontal="right" vertical="center" indent="1"/>
    </xf>
    <xf numFmtId="0" fontId="0" fillId="4" borderId="1" pivotButton="0" quotePrefix="0" xfId="0"/>
    <xf numFmtId="164" fontId="2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7" fillId="5" borderId="0" applyAlignment="1" pivotButton="0" quotePrefix="0" xfId="0">
      <alignment horizontal="left" vertical="center" indent="1"/>
    </xf>
    <xf numFmtId="0" fontId="8" fillId="6" borderId="6" applyAlignment="1" pivotButton="0" quotePrefix="0" xfId="0">
      <alignment horizontal="right" vertical="top"/>
    </xf>
    <xf numFmtId="0" fontId="9" fillId="6" borderId="7" applyAlignment="1" pivotButton="0" quotePrefix="0" xfId="0">
      <alignment horizontal="left" vertical="top" wrapText="1"/>
    </xf>
    <xf numFmtId="0" fontId="9" fillId="6" borderId="8" applyAlignment="1" pivotButton="0" quotePrefix="0" xfId="0">
      <alignment horizontal="left" vertical="top" wrapText="1"/>
    </xf>
    <xf numFmtId="0" fontId="8" fillId="6" borderId="9" applyAlignment="1" pivotButton="0" quotePrefix="0" xfId="0">
      <alignment horizontal="right" vertical="top"/>
    </xf>
    <xf numFmtId="0" fontId="9" fillId="6" borderId="10" applyAlignment="1" pivotButton="0" quotePrefix="0" xfId="0">
      <alignment horizontal="left" vertical="top" wrapText="1"/>
    </xf>
    <xf numFmtId="0" fontId="9" fillId="6" borderId="11" applyAlignment="1" pivotButton="0" quotePrefix="0" xfId="0">
      <alignment horizontal="left" vertical="top" wrapText="1"/>
    </xf>
    <xf numFmtId="0" fontId="8" fillId="6" borderId="12" applyAlignment="1" pivotButton="0" quotePrefix="0" xfId="0">
      <alignment horizontal="right" vertical="top"/>
    </xf>
    <xf numFmtId="0" fontId="9" fillId="6" borderId="13" applyAlignment="1" pivotButton="0" quotePrefix="0" xfId="0">
      <alignment horizontal="left" vertical="top" wrapText="1"/>
    </xf>
    <xf numFmtId="0" fontId="9" fillId="6" borderId="14" applyAlignment="1" pivotButton="0" quotePrefix="0" xfId="0">
      <alignment horizontal="left" vertical="top" wrapText="1"/>
    </xf>
    <xf numFmtId="0" fontId="10" fillId="5" borderId="15" applyAlignment="1" pivotButton="0" quotePrefix="0" xfId="0">
      <alignment horizontal="center" vertical="center" wrapText="1"/>
    </xf>
    <xf numFmtId="0" fontId="10" fillId="5" borderId="15" applyAlignment="1" pivotButton="0" quotePrefix="0" xfId="0">
      <alignment horizontal="left" vertical="center" wrapText="1"/>
    </xf>
    <xf numFmtId="0" fontId="10" fillId="5" borderId="15" applyAlignment="1" pivotButton="0" quotePrefix="0" xfId="0">
      <alignment horizontal="right" vertical="center" wrapText="1"/>
    </xf>
    <xf numFmtId="0" fontId="11" fillId="7" borderId="16" applyAlignment="1" pivotButton="0" quotePrefix="0" xfId="0">
      <alignment horizontal="center" vertical="center"/>
    </xf>
    <xf numFmtId="0" fontId="12" fillId="7" borderId="16" applyAlignment="1" pivotButton="0" quotePrefix="0" xfId="0">
      <alignment horizontal="left" vertical="center"/>
    </xf>
    <xf numFmtId="0" fontId="13" fillId="7" borderId="16" applyAlignment="1" pivotButton="0" quotePrefix="0" xfId="0">
      <alignment horizontal="left" vertical="center"/>
    </xf>
    <xf numFmtId="164" fontId="14" fillId="7" borderId="16" applyAlignment="1" pivotButton="0" quotePrefix="0" xfId="0">
      <alignment horizontal="right" vertical="center"/>
    </xf>
    <xf numFmtId="164" fontId="12" fillId="7" borderId="16" applyAlignment="1" pivotButton="0" quotePrefix="0" xfId="0">
      <alignment horizontal="right" vertical="center"/>
    </xf>
    <xf numFmtId="0" fontId="15" fillId="7" borderId="16" applyAlignment="1" pivotButton="0" quotePrefix="0" xfId="0">
      <alignment horizontal="left" vertical="center"/>
    </xf>
    <xf numFmtId="0" fontId="11" fillId="6" borderId="16" applyAlignment="1" pivotButton="0" quotePrefix="0" xfId="0">
      <alignment horizontal="center" vertical="center"/>
    </xf>
    <xf numFmtId="0" fontId="12" fillId="6" borderId="16" applyAlignment="1" pivotButton="0" quotePrefix="0" xfId="0">
      <alignment horizontal="left" vertical="center"/>
    </xf>
    <xf numFmtId="0" fontId="13" fillId="6" borderId="16" applyAlignment="1" pivotButton="0" quotePrefix="0" xfId="0">
      <alignment horizontal="left" vertical="center"/>
    </xf>
    <xf numFmtId="164" fontId="14" fillId="6" borderId="16" applyAlignment="1" pivotButton="0" quotePrefix="0" xfId="0">
      <alignment horizontal="right" vertical="center"/>
    </xf>
    <xf numFmtId="164" fontId="12" fillId="6" borderId="16" applyAlignment="1" pivotButton="0" quotePrefix="0" xfId="0">
      <alignment horizontal="right" vertical="center"/>
    </xf>
    <xf numFmtId="0" fontId="15" fillId="6" borderId="16" applyAlignment="1" pivotButton="0" quotePrefix="0" xfId="0">
      <alignment horizontal="left" vertical="center"/>
    </xf>
    <xf numFmtId="0" fontId="16" fillId="8" borderId="17" applyAlignment="1" pivotButton="0" quotePrefix="0" xfId="0">
      <alignment horizontal="left" vertical="center" indent="1"/>
    </xf>
    <xf numFmtId="0" fontId="11" fillId="6" borderId="16" applyAlignment="1" pivotButton="0" quotePrefix="0" xfId="0">
      <alignment horizontal="left" vertical="center" indent="1"/>
    </xf>
    <xf numFmtId="0" fontId="17" fillId="5" borderId="18" applyAlignment="1" pivotButton="0" quotePrefix="0" xfId="0">
      <alignment horizontal="left" vertical="center" indent="1"/>
    </xf>
    <xf numFmtId="164" fontId="17" fillId="5" borderId="18" applyAlignment="1" pivotButton="0" quotePrefix="0" xfId="0">
      <alignment horizontal="right" vertical="center"/>
    </xf>
    <xf numFmtId="0" fontId="0" fillId="0" borderId="20" pivotButton="0" quotePrefix="0" xfId="0"/>
    <xf numFmtId="0" fontId="0" fillId="0" borderId="21" pivotButton="0" quotePrefix="0" xfId="0"/>
    <xf numFmtId="0" fontId="0" fillId="0" borderId="19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2" pivotButton="0" quotePrefix="0" xfId="0"/>
    <xf numFmtId="0" fontId="9" fillId="6" borderId="26" applyAlignment="1" pivotButton="0" quotePrefix="0" xfId="0">
      <alignment horizontal="left" vertical="top" wrapText="1"/>
    </xf>
    <xf numFmtId="0" fontId="9" fillId="6" borderId="25" applyAlignment="1" pivotButton="0" quotePrefix="0" xfId="0">
      <alignment horizontal="left" vertical="top" wrapText="1"/>
    </xf>
    <xf numFmtId="0" fontId="11" fillId="6" borderId="27" applyAlignment="1" pivotButton="0" quotePrefix="0" xfId="0">
      <alignment horizontal="left" vertical="center" indent="1"/>
    </xf>
    <xf numFmtId="0" fontId="18" fillId="7" borderId="16" applyAlignment="1" pivotButton="0" quotePrefix="0" xfId="0">
      <alignment horizontal="left" vertical="center"/>
    </xf>
    <xf numFmtId="0" fontId="18" fillId="6" borderId="16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67"/>
  <sheetViews>
    <sheetView showGridLines="1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24" customWidth="1" min="3" max="3"/>
    <col width="22" customWidth="1" min="4" max="4"/>
    <col width="28" customWidth="1" min="5" max="5"/>
    <col width="26" customWidth="1" min="6" max="6"/>
    <col width="55" customWidth="1" min="7" max="7"/>
  </cols>
  <sheetData>
    <row r="1" ht="36" customHeight="1">
      <c r="A1" s="15" t="inlineStr">
        <is>
          <t>THORNFIELD LIFE SCIENCES MARKETING — Q1 2026 Managed Spend Export (Platform-Level, by Client)</t>
        </is>
      </c>
    </row>
    <row r="2" ht="20" customHeight="1">
      <c r="A2" s="16" t="inlineStr">
        <is>
          <t>Prepared by:</t>
        </is>
      </c>
      <c r="B2" s="50" t="inlineStr">
        <is>
          <t>Grace Feldman, Director, Analytics &amp; Reporting</t>
        </is>
      </c>
      <c r="C2" s="44" t="n"/>
      <c r="D2" s="44" t="n"/>
      <c r="E2" s="44" t="n"/>
      <c r="F2" s="44" t="n"/>
      <c r="G2" s="45" t="n"/>
    </row>
    <row r="3" ht="32" customHeight="1">
      <c r="A3" s="19" t="inlineStr">
        <is>
          <t>Source:</t>
        </is>
      </c>
      <c r="B3" s="51" t="inlineStr">
        <is>
          <t>ERPNext (erp.thornfieldlsm.com) — Customer master joined to Sales Order line items, aggregated by billing month</t>
        </is>
      </c>
      <c r="G3" s="46" t="n"/>
    </row>
    <row r="4" ht="32" customHeight="1">
      <c r="A4" s="19" t="inlineStr">
        <is>
          <t>Reporting basis:</t>
        </is>
      </c>
      <c r="B4" s="51" t="inlineStr">
        <is>
          <t>Gross platform spend managed by Thornfield on behalf of client during the quarter (excludes management fee, reserve, and pass-through creative production).</t>
        </is>
      </c>
      <c r="G4" s="46" t="n"/>
    </row>
    <row r="5" ht="20" customHeight="1">
      <c r="A5" s="19" t="inlineStr">
        <is>
          <t>Data as of:</t>
        </is>
      </c>
      <c r="B5" s="51" t="inlineStr">
        <is>
          <t>01/12/2026</t>
        </is>
      </c>
      <c r="G5" s="46" t="n"/>
    </row>
    <row r="6" ht="32" customHeight="1">
      <c r="A6" s="19" t="inlineStr">
        <is>
          <t>Status:</t>
        </is>
      </c>
      <c r="B6" s="51" t="inlineStr">
        <is>
          <t>Q1 2026 in progress. January partial (billing days 1–12 only); February and March not yet in period.</t>
        </is>
      </c>
      <c r="G6" s="46" t="n"/>
    </row>
    <row r="7" ht="20" customHeight="1">
      <c r="A7" s="22" t="inlineStr">
        <is>
          <t>Currency:</t>
        </is>
      </c>
      <c r="B7" s="24" t="inlineStr">
        <is>
          <t>USD, format $#,##0</t>
        </is>
      </c>
      <c r="C7" s="47" t="n"/>
      <c r="D7" s="47" t="n"/>
      <c r="E7" s="47" t="n"/>
      <c r="F7" s="47" t="n"/>
      <c r="G7" s="48" t="n"/>
    </row>
    <row r="8" ht="14" customHeight="1"/>
    <row r="9" ht="32" customHeight="1">
      <c r="A9" s="25" t="inlineStr">
        <is>
          <t>ERPNext Customer ID</t>
        </is>
      </c>
      <c r="B9" s="26" t="inlineStr">
        <is>
          <t>Client Name</t>
        </is>
      </c>
      <c r="C9" s="26" t="inlineStr">
        <is>
          <t>Account Origin</t>
        </is>
      </c>
      <c r="D9" s="25" t="inlineStr">
        <is>
          <t>Regulated Client (Y/N)</t>
        </is>
      </c>
      <c r="E9" s="27" t="inlineStr">
        <is>
          <t>Jan 2026 Spend (through 1/12)</t>
        </is>
      </c>
      <c r="F9" s="27" t="inlineStr">
        <is>
          <t>Q1 2026 Total to Date</t>
        </is>
      </c>
      <c r="G9" s="26" t="inlineStr">
        <is>
          <t>Notes</t>
        </is>
      </c>
    </row>
    <row r="10" ht="22" customHeight="1">
      <c r="A10" s="28" t="inlineStr">
        <is>
          <t>CUST-2025-0004</t>
        </is>
      </c>
      <c r="B10" s="29" t="inlineStr">
        <is>
          <t>Pennywell Life Sciences</t>
        </is>
      </c>
      <c r="C10" s="30" t="inlineStr">
        <is>
          <t>Thornfield native</t>
        </is>
      </c>
      <c r="D10" s="28" t="inlineStr">
        <is>
          <t>N</t>
        </is>
      </c>
      <c r="E10" s="31" t="n">
        <v>21500</v>
      </c>
      <c r="F10" s="32" t="n">
        <v>21500</v>
      </c>
      <c r="G10" s="33" t="inlineStr"/>
    </row>
    <row r="11" ht="22" customHeight="1">
      <c r="A11" s="34" t="inlineStr">
        <is>
          <t>CUST-2025-0007</t>
        </is>
      </c>
      <c r="B11" s="35" t="inlineStr">
        <is>
          <t>Thistlewood Biosystems</t>
        </is>
      </c>
      <c r="C11" s="36" t="inlineStr">
        <is>
          <t>Thornfield native</t>
        </is>
      </c>
      <c r="D11" s="34" t="inlineStr">
        <is>
          <t>N</t>
        </is>
      </c>
      <c r="E11" s="37" t="n">
        <v>7300</v>
      </c>
      <c r="F11" s="38" t="n">
        <v>7300</v>
      </c>
      <c r="G11" s="39" t="inlineStr"/>
    </row>
    <row r="12" ht="22" customHeight="1">
      <c r="A12" s="28" t="inlineStr">
        <is>
          <t>CUST-2025-0011</t>
        </is>
      </c>
      <c r="B12" s="29" t="inlineStr">
        <is>
          <t>Halstead Analytical</t>
        </is>
      </c>
      <c r="C12" s="30" t="inlineStr">
        <is>
          <t>Thornfield native</t>
        </is>
      </c>
      <c r="D12" s="28" t="inlineStr">
        <is>
          <t>N</t>
        </is>
      </c>
      <c r="E12" s="31" t="n">
        <v>13800</v>
      </c>
      <c r="F12" s="32" t="n">
        <v>13800</v>
      </c>
      <c r="G12" s="33" t="inlineStr"/>
    </row>
    <row r="13" ht="22" customHeight="1">
      <c r="A13" s="34" t="inlineStr">
        <is>
          <t>CUST-2025-0014</t>
        </is>
      </c>
      <c r="B13" s="35" t="inlineStr">
        <is>
          <t>Fairview Reagents</t>
        </is>
      </c>
      <c r="C13" s="36" t="inlineStr">
        <is>
          <t>Thornfield native</t>
        </is>
      </c>
      <c r="D13" s="34" t="inlineStr">
        <is>
          <t>N</t>
        </is>
      </c>
      <c r="E13" s="37" t="n">
        <v>3100</v>
      </c>
      <c r="F13" s="38" t="n">
        <v>3100</v>
      </c>
      <c r="G13" s="39" t="inlineStr"/>
    </row>
    <row r="14" ht="22" customHeight="1">
      <c r="A14" s="28" t="inlineStr">
        <is>
          <t>CUST-2025-0016</t>
        </is>
      </c>
      <c r="B14" s="29" t="inlineStr">
        <is>
          <t>Brackenwood Diagnostics</t>
        </is>
      </c>
      <c r="C14" s="30" t="inlineStr">
        <is>
          <t>Thornfield native</t>
        </is>
      </c>
      <c r="D14" s="28" t="inlineStr">
        <is>
          <t>Y</t>
        </is>
      </c>
      <c r="E14" s="31" t="n">
        <v>9200</v>
      </c>
      <c r="F14" s="32" t="n">
        <v>9200</v>
      </c>
      <c r="G14" s="53" t="inlineStr">
        <is>
          <t>regulated client</t>
        </is>
      </c>
    </row>
    <row r="15" ht="22" customHeight="1">
      <c r="A15" s="34" t="inlineStr">
        <is>
          <t>CUST-2025-0019</t>
        </is>
      </c>
      <c r="B15" s="35" t="inlineStr">
        <is>
          <t>Silverbrook Bioscience</t>
        </is>
      </c>
      <c r="C15" s="36" t="inlineStr">
        <is>
          <t>Thornfield native</t>
        </is>
      </c>
      <c r="D15" s="34" t="inlineStr">
        <is>
          <t>N</t>
        </is>
      </c>
      <c r="E15" s="37" t="n">
        <v>15700</v>
      </c>
      <c r="F15" s="38" t="n">
        <v>15700</v>
      </c>
      <c r="G15" s="39" t="inlineStr"/>
    </row>
    <row r="16" ht="22" customHeight="1">
      <c r="A16" s="28" t="inlineStr">
        <is>
          <t>CUST-2025-0022</t>
        </is>
      </c>
      <c r="B16" s="29" t="inlineStr">
        <is>
          <t>Ipswich Molecular</t>
        </is>
      </c>
      <c r="C16" s="30" t="inlineStr">
        <is>
          <t>Thornfield native</t>
        </is>
      </c>
      <c r="D16" s="28" t="inlineStr">
        <is>
          <t>N</t>
        </is>
      </c>
      <c r="E16" s="31" t="n">
        <v>6400</v>
      </c>
      <c r="F16" s="32" t="n">
        <v>6400</v>
      </c>
      <c r="G16" s="33" t="inlineStr"/>
    </row>
    <row r="17" ht="22" customHeight="1">
      <c r="A17" s="34" t="inlineStr">
        <is>
          <t>CUST-2025-0028</t>
        </is>
      </c>
      <c r="B17" s="35" t="inlineStr">
        <is>
          <t>Prospect Cell Systems</t>
        </is>
      </c>
      <c r="C17" s="36" t="inlineStr">
        <is>
          <t>Thornfield native</t>
        </is>
      </c>
      <c r="D17" s="34" t="inlineStr">
        <is>
          <t>N</t>
        </is>
      </c>
      <c r="E17" s="37" t="n">
        <v>10800</v>
      </c>
      <c r="F17" s="38" t="n">
        <v>10800</v>
      </c>
      <c r="G17" s="39" t="inlineStr"/>
    </row>
    <row r="18" ht="22" customHeight="1">
      <c r="A18" s="28" t="inlineStr">
        <is>
          <t>CUST-2025-0031</t>
        </is>
      </c>
      <c r="B18" s="29" t="inlineStr">
        <is>
          <t>Redcliff Bioinstruments</t>
        </is>
      </c>
      <c r="C18" s="30" t="inlineStr">
        <is>
          <t>Thornfield native</t>
        </is>
      </c>
      <c r="D18" s="28" t="inlineStr">
        <is>
          <t>Y</t>
        </is>
      </c>
      <c r="E18" s="31" t="n">
        <v>21200</v>
      </c>
      <c r="F18" s="32" t="n">
        <v>21200</v>
      </c>
      <c r="G18" s="33" t="inlineStr"/>
    </row>
    <row r="19" ht="22" customHeight="1">
      <c r="A19" s="34" t="inlineStr">
        <is>
          <t>CUST-2025-0033</t>
        </is>
      </c>
      <c r="B19" s="35" t="inlineStr">
        <is>
          <t>Marlstone Bioscience</t>
        </is>
      </c>
      <c r="C19" s="36" t="inlineStr">
        <is>
          <t>Thornfield native</t>
        </is>
      </c>
      <c r="D19" s="34" t="inlineStr">
        <is>
          <t>N</t>
        </is>
      </c>
      <c r="E19" s="37" t="n">
        <v>24300</v>
      </c>
      <c r="F19" s="38" t="n">
        <v>24300</v>
      </c>
      <c r="G19" s="39" t="inlineStr"/>
    </row>
    <row r="20" ht="22" customHeight="1">
      <c r="A20" s="28" t="inlineStr">
        <is>
          <t>CUST-2025-0037</t>
        </is>
      </c>
      <c r="B20" s="29" t="inlineStr">
        <is>
          <t>Steeplechase Diagnostics</t>
        </is>
      </c>
      <c r="C20" s="30" t="inlineStr">
        <is>
          <t>Thornfield native</t>
        </is>
      </c>
      <c r="D20" s="28" t="inlineStr">
        <is>
          <t>Y</t>
        </is>
      </c>
      <c r="E20" s="31" t="n">
        <v>14800</v>
      </c>
      <c r="F20" s="32" t="n">
        <v>14800</v>
      </c>
      <c r="G20" s="53" t="inlineStr">
        <is>
          <t>regulated client</t>
        </is>
      </c>
    </row>
    <row r="21" ht="22" customHeight="1">
      <c r="A21" s="34" t="inlineStr">
        <is>
          <t>CUST-2025-0041</t>
        </is>
      </c>
      <c r="B21" s="35" t="inlineStr">
        <is>
          <t>Kennebec Genomics</t>
        </is>
      </c>
      <c r="C21" s="36" t="inlineStr">
        <is>
          <t>Thornfield native</t>
        </is>
      </c>
      <c r="D21" s="34" t="inlineStr">
        <is>
          <t>N</t>
        </is>
      </c>
      <c r="E21" s="37" t="n">
        <v>27500</v>
      </c>
      <c r="F21" s="38" t="n">
        <v>27500</v>
      </c>
      <c r="G21" s="39" t="inlineStr"/>
    </row>
    <row r="22" ht="22" customHeight="1">
      <c r="A22" s="28" t="inlineStr">
        <is>
          <t>CUST-2025-0044</t>
        </is>
      </c>
      <c r="B22" s="29" t="inlineStr">
        <is>
          <t>Cavendish Life Sciences</t>
        </is>
      </c>
      <c r="C22" s="30" t="inlineStr">
        <is>
          <t>Thornfield native</t>
        </is>
      </c>
      <c r="D22" s="28" t="inlineStr">
        <is>
          <t>N</t>
        </is>
      </c>
      <c r="E22" s="31" t="n">
        <v>4700</v>
      </c>
      <c r="F22" s="32" t="n">
        <v>4700</v>
      </c>
      <c r="G22" s="33" t="inlineStr"/>
    </row>
    <row r="23" ht="22" customHeight="1">
      <c r="A23" s="34" t="inlineStr">
        <is>
          <t>CUST-2025-0052</t>
        </is>
      </c>
      <c r="B23" s="35" t="inlineStr">
        <is>
          <t>Ashcombe Diagnostics</t>
        </is>
      </c>
      <c r="C23" s="36" t="inlineStr">
        <is>
          <t>Thornfield native</t>
        </is>
      </c>
      <c r="D23" s="34" t="inlineStr">
        <is>
          <t>Y</t>
        </is>
      </c>
      <c r="E23" s="37" t="n">
        <v>18400</v>
      </c>
      <c r="F23" s="38" t="n">
        <v>18400</v>
      </c>
      <c r="G23" s="54" t="inlineStr">
        <is>
          <t>regulated client</t>
        </is>
      </c>
    </row>
    <row r="24" ht="22" customHeight="1">
      <c r="A24" s="28" t="inlineStr">
        <is>
          <t>CUST-2025-0056</t>
        </is>
      </c>
      <c r="B24" s="29" t="inlineStr">
        <is>
          <t>Fenland Bioanalytics</t>
        </is>
      </c>
      <c r="C24" s="30" t="inlineStr">
        <is>
          <t>Thornfield native</t>
        </is>
      </c>
      <c r="D24" s="28" t="inlineStr">
        <is>
          <t>N</t>
        </is>
      </c>
      <c r="E24" s="31" t="n">
        <v>9100</v>
      </c>
      <c r="F24" s="32" t="n">
        <v>9100</v>
      </c>
      <c r="G24" s="33" t="inlineStr"/>
    </row>
    <row r="25" ht="22" customHeight="1">
      <c r="A25" s="34" t="inlineStr">
        <is>
          <t>CUST-2025-0063</t>
        </is>
      </c>
      <c r="B25" s="35" t="inlineStr">
        <is>
          <t>Palliser Diagnostics</t>
        </is>
      </c>
      <c r="C25" s="36" t="inlineStr">
        <is>
          <t>Thornfield native</t>
        </is>
      </c>
      <c r="D25" s="34" t="inlineStr">
        <is>
          <t>Y</t>
        </is>
      </c>
      <c r="E25" s="37" t="n">
        <v>23500</v>
      </c>
      <c r="F25" s="38" t="n">
        <v>23500</v>
      </c>
      <c r="G25" s="54" t="inlineStr">
        <is>
          <t>regulated client</t>
        </is>
      </c>
    </row>
    <row r="26" ht="22" customHeight="1">
      <c r="A26" s="28" t="inlineStr">
        <is>
          <t>CUST-2025-0066</t>
        </is>
      </c>
      <c r="B26" s="29" t="inlineStr">
        <is>
          <t>Tavistock Bioimaging</t>
        </is>
      </c>
      <c r="C26" s="30" t="inlineStr">
        <is>
          <t>Thornfield native</t>
        </is>
      </c>
      <c r="D26" s="28" t="inlineStr">
        <is>
          <t>N</t>
        </is>
      </c>
      <c r="E26" s="31" t="n">
        <v>12600</v>
      </c>
      <c r="F26" s="32" t="n">
        <v>12600</v>
      </c>
      <c r="G26" s="33" t="inlineStr"/>
    </row>
    <row r="27" ht="22" customHeight="1">
      <c r="A27" s="34" t="inlineStr">
        <is>
          <t>CUST-2025-0072</t>
        </is>
      </c>
      <c r="B27" s="35" t="inlineStr">
        <is>
          <t>Pennington Cell Therapy</t>
        </is>
      </c>
      <c r="C27" s="36" t="inlineStr">
        <is>
          <t>Thornfield native</t>
        </is>
      </c>
      <c r="D27" s="34" t="inlineStr">
        <is>
          <t>Y</t>
        </is>
      </c>
      <c r="E27" s="37" t="n">
        <v>34700</v>
      </c>
      <c r="F27" s="38" t="n">
        <v>34700</v>
      </c>
      <c r="G27" s="54" t="inlineStr">
        <is>
          <t>regulated client</t>
        </is>
      </c>
    </row>
    <row r="28" ht="22" customHeight="1">
      <c r="A28" s="28" t="inlineStr">
        <is>
          <t>CUST-2025-0075</t>
        </is>
      </c>
      <c r="B28" s="29" t="inlineStr">
        <is>
          <t>Cornhill Diagnostics</t>
        </is>
      </c>
      <c r="C28" s="30" t="inlineStr">
        <is>
          <t>Thornfield native</t>
        </is>
      </c>
      <c r="D28" s="28" t="inlineStr">
        <is>
          <t>Y</t>
        </is>
      </c>
      <c r="E28" s="31" t="n">
        <v>5600</v>
      </c>
      <c r="F28" s="32" t="n">
        <v>5600</v>
      </c>
      <c r="G28" s="53" t="inlineStr">
        <is>
          <t>regulated client</t>
        </is>
      </c>
    </row>
    <row r="29" ht="22" customHeight="1">
      <c r="A29" s="34" t="inlineStr">
        <is>
          <t>CUST-2025-0078</t>
        </is>
      </c>
      <c r="B29" s="35" t="inlineStr">
        <is>
          <t>Roxwell Molecular Labs</t>
        </is>
      </c>
      <c r="C29" s="36" t="inlineStr">
        <is>
          <t>Thornfield native</t>
        </is>
      </c>
      <c r="D29" s="34" t="inlineStr">
        <is>
          <t>N</t>
        </is>
      </c>
      <c r="E29" s="37" t="n">
        <v>16200</v>
      </c>
      <c r="F29" s="38" t="n">
        <v>16200</v>
      </c>
      <c r="G29" s="39" t="inlineStr"/>
    </row>
    <row r="30" ht="22" customHeight="1">
      <c r="A30" s="28" t="inlineStr">
        <is>
          <t>CUST-2025-0084</t>
        </is>
      </c>
      <c r="B30" s="29" t="inlineStr">
        <is>
          <t>Braemar Life Sciences</t>
        </is>
      </c>
      <c r="C30" s="30" t="inlineStr">
        <is>
          <t>Thornfield native</t>
        </is>
      </c>
      <c r="D30" s="28" t="inlineStr">
        <is>
          <t>N</t>
        </is>
      </c>
      <c r="E30" s="31" t="n">
        <v>11000</v>
      </c>
      <c r="F30" s="32" t="n">
        <v>11000</v>
      </c>
      <c r="G30" s="33" t="inlineStr"/>
    </row>
    <row r="31" ht="22" customHeight="1">
      <c r="A31" s="34" t="inlineStr">
        <is>
          <t>CUST-2025-0088</t>
        </is>
      </c>
      <c r="B31" s="35" t="inlineStr">
        <is>
          <t>Caldwell Diagnostics</t>
        </is>
      </c>
      <c r="C31" s="36" t="inlineStr">
        <is>
          <t>Thornfield native</t>
        </is>
      </c>
      <c r="D31" s="34" t="inlineStr">
        <is>
          <t>Y</t>
        </is>
      </c>
      <c r="E31" s="37" t="n">
        <v>16500</v>
      </c>
      <c r="F31" s="38" t="n">
        <v>16500</v>
      </c>
      <c r="G31" s="54" t="inlineStr">
        <is>
          <t>regulated client</t>
        </is>
      </c>
    </row>
    <row r="32" ht="22" customHeight="1">
      <c r="A32" s="28" t="inlineStr">
        <is>
          <t>CUST-2025-0091</t>
        </is>
      </c>
      <c r="B32" s="29" t="inlineStr">
        <is>
          <t>Ellisborough Bioinstruments</t>
        </is>
      </c>
      <c r="C32" s="30" t="inlineStr">
        <is>
          <t>Thornfield native</t>
        </is>
      </c>
      <c r="D32" s="28" t="inlineStr">
        <is>
          <t>N</t>
        </is>
      </c>
      <c r="E32" s="31" t="n">
        <v>14400</v>
      </c>
      <c r="F32" s="32" t="n">
        <v>14400</v>
      </c>
      <c r="G32" s="33" t="inlineStr"/>
    </row>
    <row r="33" ht="22" customHeight="1">
      <c r="A33" s="34" t="inlineStr">
        <is>
          <t>CUST-2025-0094</t>
        </is>
      </c>
      <c r="B33" s="35" t="inlineStr">
        <is>
          <t>Harewood Genomic Sciences</t>
        </is>
      </c>
      <c r="C33" s="36" t="inlineStr">
        <is>
          <t>Thornfield native</t>
        </is>
      </c>
      <c r="D33" s="34" t="inlineStr">
        <is>
          <t>N</t>
        </is>
      </c>
      <c r="E33" s="37" t="n">
        <v>20200</v>
      </c>
      <c r="F33" s="38" t="n">
        <v>20200</v>
      </c>
      <c r="G33" s="39" t="inlineStr"/>
    </row>
    <row r="34" ht="22" customHeight="1">
      <c r="A34" s="28" t="inlineStr">
        <is>
          <t>CUST-2025-0100</t>
        </is>
      </c>
      <c r="B34" s="29" t="inlineStr">
        <is>
          <t>Thoresby Cell Systems</t>
        </is>
      </c>
      <c r="C34" s="30" t="inlineStr">
        <is>
          <t>Thornfield native</t>
        </is>
      </c>
      <c r="D34" s="28" t="inlineStr">
        <is>
          <t>N</t>
        </is>
      </c>
      <c r="E34" s="31" t="n">
        <v>6300</v>
      </c>
      <c r="F34" s="32" t="n">
        <v>6300</v>
      </c>
      <c r="G34" s="33" t="inlineStr"/>
    </row>
    <row r="35" ht="22" customHeight="1">
      <c r="A35" s="34" t="inlineStr">
        <is>
          <t>CUST-2025-0109</t>
        </is>
      </c>
      <c r="B35" s="35" t="inlineStr">
        <is>
          <t>Danbury Molecular</t>
        </is>
      </c>
      <c r="C35" s="36" t="inlineStr">
        <is>
          <t>Thornfield native</t>
        </is>
      </c>
      <c r="D35" s="34" t="inlineStr">
        <is>
          <t>N</t>
        </is>
      </c>
      <c r="E35" s="37" t="n">
        <v>17800</v>
      </c>
      <c r="F35" s="38" t="n">
        <v>17800</v>
      </c>
      <c r="G35" s="39" t="inlineStr"/>
    </row>
    <row r="36" ht="22" customHeight="1">
      <c r="A36" s="28" t="inlineStr">
        <is>
          <t>CUST-2025-0115</t>
        </is>
      </c>
      <c r="B36" s="29" t="inlineStr">
        <is>
          <t>Milford Bioanalytics</t>
        </is>
      </c>
      <c r="C36" s="30" t="inlineStr">
        <is>
          <t>Thornfield native</t>
        </is>
      </c>
      <c r="D36" s="28" t="inlineStr">
        <is>
          <t>N</t>
        </is>
      </c>
      <c r="E36" s="31" t="n">
        <v>35400</v>
      </c>
      <c r="F36" s="32" t="n">
        <v>35400</v>
      </c>
      <c r="G36" s="33" t="inlineStr"/>
    </row>
    <row r="37" ht="22" customHeight="1">
      <c r="A37" s="34" t="inlineStr">
        <is>
          <t>CUST-2025-0118</t>
        </is>
      </c>
      <c r="B37" s="35" t="inlineStr">
        <is>
          <t>Radstock Diagnostics</t>
        </is>
      </c>
      <c r="C37" s="36" t="inlineStr">
        <is>
          <t>Thornfield native</t>
        </is>
      </c>
      <c r="D37" s="34" t="inlineStr">
        <is>
          <t>Y</t>
        </is>
      </c>
      <c r="E37" s="37" t="n">
        <v>11100</v>
      </c>
      <c r="F37" s="38" t="n">
        <v>11100</v>
      </c>
      <c r="G37" s="54" t="inlineStr">
        <is>
          <t>regulated client</t>
        </is>
      </c>
    </row>
    <row r="38" ht="22" customHeight="1">
      <c r="A38" s="28" t="inlineStr">
        <is>
          <t>CUST-2025-0124</t>
        </is>
      </c>
      <c r="B38" s="29" t="inlineStr">
        <is>
          <t>Verwood Genomics</t>
        </is>
      </c>
      <c r="C38" s="30" t="inlineStr">
        <is>
          <t>Thornfield native</t>
        </is>
      </c>
      <c r="D38" s="28" t="inlineStr">
        <is>
          <t>N</t>
        </is>
      </c>
      <c r="E38" s="31" t="n">
        <v>26100</v>
      </c>
      <c r="F38" s="32" t="n">
        <v>26100</v>
      </c>
      <c r="G38" s="33" t="inlineStr"/>
    </row>
    <row r="39" ht="22" customHeight="1">
      <c r="A39" s="34" t="inlineStr">
        <is>
          <t>CUST-2025-0201</t>
        </is>
      </c>
      <c r="B39" s="35" t="inlineStr">
        <is>
          <t>Wrenfield Scientific</t>
        </is>
      </c>
      <c r="C39" s="36" t="inlineStr">
        <is>
          <t>Thornfield native</t>
        </is>
      </c>
      <c r="D39" s="34" t="inlineStr">
        <is>
          <t>N</t>
        </is>
      </c>
      <c r="E39" s="37" t="n">
        <v>7400</v>
      </c>
      <c r="F39" s="38" t="n">
        <v>7400</v>
      </c>
      <c r="G39" s="39" t="inlineStr"/>
    </row>
    <row r="40" ht="22" customHeight="1">
      <c r="A40" s="28" t="inlineStr">
        <is>
          <t>CUST-2025-0130</t>
        </is>
      </c>
      <c r="B40" s="29" t="inlineStr">
        <is>
          <t>Belmont Assay Systems</t>
        </is>
      </c>
      <c r="C40" s="30" t="inlineStr">
        <is>
          <t>Inherited — Bramwell</t>
        </is>
      </c>
      <c r="D40" s="28" t="inlineStr">
        <is>
          <t>N</t>
        </is>
      </c>
      <c r="E40" s="31" t="n">
        <v>9000</v>
      </c>
      <c r="F40" s="32" t="n">
        <v>9000</v>
      </c>
      <c r="G40" s="53" t="inlineStr">
        <is>
          <t>inherited account</t>
        </is>
      </c>
    </row>
    <row r="41" ht="22" customHeight="1">
      <c r="A41" s="34" t="inlineStr">
        <is>
          <t>CUST-2025-0133</t>
        </is>
      </c>
      <c r="B41" s="35" t="inlineStr">
        <is>
          <t>Chatfield Diagnostics</t>
        </is>
      </c>
      <c r="C41" s="36" t="inlineStr">
        <is>
          <t>Inherited — Bramwell</t>
        </is>
      </c>
      <c r="D41" s="34" t="inlineStr">
        <is>
          <t>Y</t>
        </is>
      </c>
      <c r="E41" s="37" t="n">
        <v>22800</v>
      </c>
      <c r="F41" s="38" t="n">
        <v>22800</v>
      </c>
      <c r="G41" s="54" t="inlineStr">
        <is>
          <t>inherited account; regulated client</t>
        </is>
      </c>
    </row>
    <row r="42" ht="22" customHeight="1">
      <c r="A42" s="28" t="inlineStr">
        <is>
          <t>CUST-2025-0136</t>
        </is>
      </c>
      <c r="B42" s="29" t="inlineStr">
        <is>
          <t>Deepwater Bioanalytics</t>
        </is>
      </c>
      <c r="C42" s="30" t="inlineStr">
        <is>
          <t>Inherited — Bramwell</t>
        </is>
      </c>
      <c r="D42" s="28" t="inlineStr">
        <is>
          <t>N</t>
        </is>
      </c>
      <c r="E42" s="31" t="n">
        <v>13800</v>
      </c>
      <c r="F42" s="32" t="n">
        <v>13800</v>
      </c>
      <c r="G42" s="53" t="inlineStr">
        <is>
          <t>inherited account</t>
        </is>
      </c>
    </row>
    <row r="43" ht="22" customHeight="1">
      <c r="A43" s="34" t="inlineStr">
        <is>
          <t>CUST-2025-0142</t>
        </is>
      </c>
      <c r="B43" s="35" t="inlineStr">
        <is>
          <t>Ashford Scientific Instruments</t>
        </is>
      </c>
      <c r="C43" s="36" t="inlineStr">
        <is>
          <t>Inherited — Bramwell</t>
        </is>
      </c>
      <c r="D43" s="34" t="inlineStr">
        <is>
          <t>N</t>
        </is>
      </c>
      <c r="E43" s="37" t="n">
        <v>31500</v>
      </c>
      <c r="F43" s="38" t="n">
        <v>31500</v>
      </c>
      <c r="G43" s="54" t="inlineStr">
        <is>
          <t>inherited account</t>
        </is>
      </c>
    </row>
    <row r="44" ht="22" customHeight="1">
      <c r="A44" s="28" t="inlineStr">
        <is>
          <t>CUST-2025-0145</t>
        </is>
      </c>
      <c r="B44" s="29" t="inlineStr">
        <is>
          <t>Grantham Molecular Sciences</t>
        </is>
      </c>
      <c r="C44" s="30" t="inlineStr">
        <is>
          <t>Inherited — Bramwell</t>
        </is>
      </c>
      <c r="D44" s="28" t="inlineStr">
        <is>
          <t>N</t>
        </is>
      </c>
      <c r="E44" s="31" t="n">
        <v>6400</v>
      </c>
      <c r="F44" s="32" t="n">
        <v>6400</v>
      </c>
      <c r="G44" s="53" t="inlineStr">
        <is>
          <t>inherited account</t>
        </is>
      </c>
    </row>
    <row r="45" ht="22" customHeight="1">
      <c r="A45" s="34" t="inlineStr">
        <is>
          <t>CUST-2025-0148</t>
        </is>
      </c>
      <c r="B45" s="35" t="inlineStr">
        <is>
          <t>Hemsworth Bioinstruments</t>
        </is>
      </c>
      <c r="C45" s="36" t="inlineStr">
        <is>
          <t>Inherited — Bramwell</t>
        </is>
      </c>
      <c r="D45" s="34" t="inlineStr">
        <is>
          <t>N</t>
        </is>
      </c>
      <c r="E45" s="37" t="n">
        <v>16400</v>
      </c>
      <c r="F45" s="38" t="n">
        <v>16400</v>
      </c>
      <c r="G45" s="54" t="inlineStr">
        <is>
          <t>inherited account</t>
        </is>
      </c>
    </row>
    <row r="46" ht="22" customHeight="1">
      <c r="A46" s="28" t="inlineStr">
        <is>
          <t>CUST-2025-0151</t>
        </is>
      </c>
      <c r="B46" s="29" t="inlineStr">
        <is>
          <t>Ingleton Diagnostics</t>
        </is>
      </c>
      <c r="C46" s="30" t="inlineStr">
        <is>
          <t>Inherited — Bramwell</t>
        </is>
      </c>
      <c r="D46" s="28" t="inlineStr">
        <is>
          <t>Y</t>
        </is>
      </c>
      <c r="E46" s="31" t="n">
        <v>27500</v>
      </c>
      <c r="F46" s="32" t="n">
        <v>27500</v>
      </c>
      <c r="G46" s="53" t="inlineStr">
        <is>
          <t>inherited account; regulated client</t>
        </is>
      </c>
    </row>
    <row r="47" ht="22" customHeight="1">
      <c r="A47" s="34" t="inlineStr">
        <is>
          <t>CUST-2025-0157</t>
        </is>
      </c>
      <c r="B47" s="35" t="inlineStr">
        <is>
          <t>Northlake Bioinstruments</t>
        </is>
      </c>
      <c r="C47" s="36" t="inlineStr">
        <is>
          <t>Inherited — Bramwell</t>
        </is>
      </c>
      <c r="D47" s="34" t="inlineStr">
        <is>
          <t>N</t>
        </is>
      </c>
      <c r="E47" s="37" t="n">
        <v>32800</v>
      </c>
      <c r="F47" s="38" t="n">
        <v>32800</v>
      </c>
      <c r="G47" s="54" t="inlineStr">
        <is>
          <t>inherited account; on legacy-accounts renewal rate</t>
        </is>
      </c>
    </row>
    <row r="48" ht="22" customHeight="1">
      <c r="A48" s="28" t="inlineStr">
        <is>
          <t>CUST-2025-0160</t>
        </is>
      </c>
      <c r="B48" s="29" t="inlineStr">
        <is>
          <t>Kilbourne Genomics</t>
        </is>
      </c>
      <c r="C48" s="30" t="inlineStr">
        <is>
          <t>Inherited — Bramwell</t>
        </is>
      </c>
      <c r="D48" s="28" t="inlineStr">
        <is>
          <t>N</t>
        </is>
      </c>
      <c r="E48" s="31" t="n">
        <v>11200</v>
      </c>
      <c r="F48" s="32" t="n">
        <v>11200</v>
      </c>
      <c r="G48" s="53" t="inlineStr">
        <is>
          <t>inherited account</t>
        </is>
      </c>
    </row>
    <row r="49" ht="22" customHeight="1">
      <c r="A49" s="34" t="inlineStr">
        <is>
          <t>CUST-2025-0166</t>
        </is>
      </c>
      <c r="B49" s="35" t="inlineStr">
        <is>
          <t>Marchmont Diagnostics</t>
        </is>
      </c>
      <c r="C49" s="36" t="inlineStr">
        <is>
          <t>Inherited — Bramwell</t>
        </is>
      </c>
      <c r="D49" s="34" t="inlineStr">
        <is>
          <t>Y</t>
        </is>
      </c>
      <c r="E49" s="37" t="n">
        <v>19000</v>
      </c>
      <c r="F49" s="38" t="n">
        <v>19000</v>
      </c>
      <c r="G49" s="54" t="inlineStr">
        <is>
          <t>inherited account; regulated client</t>
        </is>
      </c>
    </row>
    <row r="50" ht="22" customHeight="1">
      <c r="A50" s="28" t="inlineStr">
        <is>
          <t>CUST-2025-0175</t>
        </is>
      </c>
      <c r="B50" s="29" t="inlineStr">
        <is>
          <t>Portishead Molecular</t>
        </is>
      </c>
      <c r="C50" s="30" t="inlineStr">
        <is>
          <t>Inherited — Bramwell</t>
        </is>
      </c>
      <c r="D50" s="28" t="inlineStr">
        <is>
          <t>Y</t>
        </is>
      </c>
      <c r="E50" s="31" t="n">
        <v>21800</v>
      </c>
      <c r="F50" s="32" t="n">
        <v>21800</v>
      </c>
      <c r="G50" s="53" t="inlineStr">
        <is>
          <t>inherited account</t>
        </is>
      </c>
    </row>
    <row r="51" ht="22" customHeight="1">
      <c r="A51" s="34" t="inlineStr">
        <is>
          <t>CUST-2025-0181</t>
        </is>
      </c>
      <c r="B51" s="35" t="inlineStr">
        <is>
          <t>Ramsden Bioanalytics</t>
        </is>
      </c>
      <c r="C51" s="36" t="inlineStr">
        <is>
          <t>Inherited — Bramwell</t>
        </is>
      </c>
      <c r="D51" s="34" t="inlineStr">
        <is>
          <t>Y</t>
        </is>
      </c>
      <c r="E51" s="37" t="n">
        <v>32000</v>
      </c>
      <c r="F51" s="38" t="n">
        <v>32000</v>
      </c>
      <c r="G51" s="54" t="inlineStr">
        <is>
          <t>inherited account</t>
        </is>
      </c>
    </row>
    <row r="52" ht="22" customHeight="1">
      <c r="A52" s="28" t="inlineStr">
        <is>
          <t>CUST-2025-0187</t>
        </is>
      </c>
      <c r="B52" s="29" t="inlineStr">
        <is>
          <t>Trentham Diagnostics</t>
        </is>
      </c>
      <c r="C52" s="30" t="inlineStr">
        <is>
          <t>Inherited — Bramwell</t>
        </is>
      </c>
      <c r="D52" s="28" t="inlineStr">
        <is>
          <t>Y</t>
        </is>
      </c>
      <c r="E52" s="31" t="n">
        <v>8800</v>
      </c>
      <c r="F52" s="32" t="n">
        <v>8800</v>
      </c>
      <c r="G52" s="53" t="inlineStr">
        <is>
          <t>inherited account; regulated client</t>
        </is>
      </c>
    </row>
    <row r="53" ht="22" customHeight="1">
      <c r="A53" s="34" t="inlineStr">
        <is>
          <t>CUST-2025-0193</t>
        </is>
      </c>
      <c r="B53" s="35" t="inlineStr">
        <is>
          <t>Vantage Bioinstruments</t>
        </is>
      </c>
      <c r="C53" s="36" t="inlineStr">
        <is>
          <t>Thornfield native</t>
        </is>
      </c>
      <c r="D53" s="34" t="inlineStr">
        <is>
          <t>Y</t>
        </is>
      </c>
      <c r="E53" s="37" t="n">
        <v>14700</v>
      </c>
      <c r="F53" s="38" t="n">
        <v>14700</v>
      </c>
      <c r="G53" s="54" t="inlineStr">
        <is>
          <t>Thornfield-native account</t>
        </is>
      </c>
    </row>
    <row r="54" ht="22" customHeight="1">
      <c r="A54" s="28" t="inlineStr">
        <is>
          <t>CUST-2025-0204</t>
        </is>
      </c>
      <c r="B54" s="29" t="inlineStr">
        <is>
          <t>Yardley Molecular Diagnostics</t>
        </is>
      </c>
      <c r="C54" s="30" t="inlineStr">
        <is>
          <t>Thornfield native</t>
        </is>
      </c>
      <c r="D54" s="28" t="inlineStr">
        <is>
          <t>Y</t>
        </is>
      </c>
      <c r="E54" s="31" t="n">
        <v>24500</v>
      </c>
      <c r="F54" s="32" t="n">
        <v>24500</v>
      </c>
      <c r="G54" s="53" t="inlineStr">
        <is>
          <t>Thornfield-native account; regulated client</t>
        </is>
      </c>
    </row>
    <row r="55" ht="22" customHeight="1">
      <c r="A55" s="34" t="inlineStr">
        <is>
          <t>CUST-2025-0210</t>
        </is>
      </c>
      <c r="B55" s="35" t="inlineStr">
        <is>
          <t>Blackthorn Reagent Systems</t>
        </is>
      </c>
      <c r="C55" s="36" t="inlineStr">
        <is>
          <t>Inherited — Bramwell</t>
        </is>
      </c>
      <c r="D55" s="34" t="inlineStr">
        <is>
          <t>N</t>
        </is>
      </c>
      <c r="E55" s="37" t="n">
        <v>10700</v>
      </c>
      <c r="F55" s="38" t="n">
        <v>10700</v>
      </c>
      <c r="G55" s="54" t="inlineStr">
        <is>
          <t>inherited account</t>
        </is>
      </c>
    </row>
    <row r="56" ht="22" customHeight="1">
      <c r="A56" s="28" t="inlineStr">
        <is>
          <t>CUST-2025-0213</t>
        </is>
      </c>
      <c r="B56" s="29" t="inlineStr">
        <is>
          <t>Coppergate Diagnostics</t>
        </is>
      </c>
      <c r="C56" s="30" t="inlineStr">
        <is>
          <t>Thornfield native</t>
        </is>
      </c>
      <c r="D56" s="28" t="inlineStr">
        <is>
          <t>Y</t>
        </is>
      </c>
      <c r="E56" s="31" t="n">
        <v>37600</v>
      </c>
      <c r="F56" s="32" t="n">
        <v>37600</v>
      </c>
      <c r="G56" s="53" t="inlineStr">
        <is>
          <t>Thornfield-native account; regulated client</t>
        </is>
      </c>
    </row>
    <row r="57" ht="22" customHeight="1">
      <c r="A57" s="34" t="inlineStr">
        <is>
          <t>CUST-2025-0219</t>
        </is>
      </c>
      <c r="B57" s="35" t="inlineStr">
        <is>
          <t>Everleigh Bioinstruments</t>
        </is>
      </c>
      <c r="C57" s="36" t="inlineStr">
        <is>
          <t>Thornfield native</t>
        </is>
      </c>
      <c r="D57" s="34" t="inlineStr">
        <is>
          <t>N</t>
        </is>
      </c>
      <c r="E57" s="37" t="n">
        <v>17000</v>
      </c>
      <c r="F57" s="38" t="n">
        <v>17000</v>
      </c>
      <c r="G57" s="54" t="inlineStr">
        <is>
          <t>Thornfield-native account</t>
        </is>
      </c>
    </row>
    <row r="58" ht="22" customHeight="1">
      <c r="A58" s="28" t="inlineStr">
        <is>
          <t>CUST-2025-0225</t>
        </is>
      </c>
      <c r="B58" s="29" t="inlineStr">
        <is>
          <t>Glenmore Diagnostics</t>
        </is>
      </c>
      <c r="C58" s="30" t="inlineStr">
        <is>
          <t>Thornfield native</t>
        </is>
      </c>
      <c r="D58" s="28" t="inlineStr">
        <is>
          <t>Y</t>
        </is>
      </c>
      <c r="E58" s="31" t="n">
        <v>19800</v>
      </c>
      <c r="F58" s="32" t="n">
        <v>19800</v>
      </c>
      <c r="G58" s="53" t="inlineStr">
        <is>
          <t>Thornfield-native account; regulated client</t>
        </is>
      </c>
    </row>
    <row r="59" ht="22" customHeight="1">
      <c r="A59" s="34" t="inlineStr">
        <is>
          <t>CUST-2025-0237</t>
        </is>
      </c>
      <c r="B59" s="35" t="inlineStr">
        <is>
          <t>Kettlewell Diagnostics</t>
        </is>
      </c>
      <c r="C59" s="36" t="inlineStr">
        <is>
          <t>Inherited — Bramwell</t>
        </is>
      </c>
      <c r="D59" s="34" t="inlineStr">
        <is>
          <t>Y</t>
        </is>
      </c>
      <c r="E59" s="37" t="n">
        <v>34000</v>
      </c>
      <c r="F59" s="38" t="n">
        <v>34000</v>
      </c>
      <c r="G59" s="54" t="inlineStr">
        <is>
          <t>inherited account; regulated client</t>
        </is>
      </c>
    </row>
    <row r="60" ht="22" customHeight="1">
      <c r="A60" s="28" t="inlineStr">
        <is>
          <t>CUST-2025-0246</t>
        </is>
      </c>
      <c r="B60" s="29" t="inlineStr">
        <is>
          <t>Norcross Genomic Systems</t>
        </is>
      </c>
      <c r="C60" s="30" t="inlineStr">
        <is>
          <t>Inherited — Bramwell</t>
        </is>
      </c>
      <c r="D60" s="28" t="inlineStr">
        <is>
          <t>N</t>
        </is>
      </c>
      <c r="E60" s="31" t="n">
        <v>14700</v>
      </c>
      <c r="F60" s="32" t="n">
        <v>14700</v>
      </c>
      <c r="G60" s="53" t="inlineStr">
        <is>
          <t>inherited account</t>
        </is>
      </c>
    </row>
    <row r="61" ht="22" customHeight="1">
      <c r="A61" s="34" t="inlineStr">
        <is>
          <t>CUST-2025-0255</t>
        </is>
      </c>
      <c r="B61" s="35" t="inlineStr">
        <is>
          <t>Tanfield Diagnostics</t>
        </is>
      </c>
      <c r="C61" s="36" t="inlineStr">
        <is>
          <t>Inherited — Bramwell</t>
        </is>
      </c>
      <c r="D61" s="34" t="inlineStr">
        <is>
          <t>Y</t>
        </is>
      </c>
      <c r="E61" s="37" t="n">
        <v>38200</v>
      </c>
      <c r="F61" s="38" t="n">
        <v>38200</v>
      </c>
      <c r="G61" s="54" t="inlineStr">
        <is>
          <t>inherited account; regulated client</t>
        </is>
      </c>
    </row>
    <row r="62" ht="16" customHeight="1"/>
    <row r="63" ht="26" customHeight="1">
      <c r="A63" s="40" t="inlineStr">
        <is>
          <t>PLACEMENT-LEVEL VENDOR SPEND (memo)</t>
        </is>
      </c>
      <c r="B63" s="40" t="n"/>
      <c r="C63" s="40" t="n"/>
      <c r="D63" s="40" t="n"/>
      <c r="E63" s="40" t="n"/>
      <c r="F63" s="40" t="n"/>
      <c r="G63" s="40" t="n"/>
    </row>
    <row r="64" ht="24" customHeight="1">
      <c r="A64" s="52" t="inlineStr">
        <is>
          <t>VENDOR-MTAN</t>
        </is>
      </c>
      <c r="B64" s="49" t="n"/>
      <c r="C64" s="49" t="n"/>
      <c r="D64" s="49" t="n"/>
      <c r="E64" s="49" t="n"/>
      <c r="F64" s="49" t="n"/>
      <c r="G64" s="49" t="n"/>
    </row>
    <row r="65" ht="16" customHeight="1"/>
    <row r="66" ht="30" customHeight="1">
      <c r="A66" s="42" t="inlineStr">
        <is>
          <t>TOTALS (52 client rows + 1 vendor placement memo)</t>
        </is>
      </c>
      <c r="B66" s="42" t="n"/>
      <c r="C66" s="42" t="n"/>
      <c r="D66" s="42" t="n"/>
      <c r="E66" s="43">
        <f>SUM(E10:E61)</f>
        <v>930800</v>
      </c>
      <c r="F66" s="43">
        <f>SUM(F10:F61)</f>
        <v>930800</v>
      </c>
      <c r="G66" s="42" t="inlineStr"/>
    </row>
    <row r="67" ht="16" customHeight="1"/>
  </sheetData>
  <mergeCells count="9">
    <mergeCell ref="B3:G3"/>
    <mergeCell ref="B2:G2"/>
    <mergeCell ref="A67:D67"/>
    <mergeCell ref="A1:G1"/>
    <mergeCell ref="B5:G5"/>
    <mergeCell ref="B4:G4"/>
    <mergeCell ref="A64:G64"/>
    <mergeCell ref="B7:G7"/>
    <mergeCell ref="B6:G6"/>
  </mergeCells>
  <printOptions horizontalCentered="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/>
  <AppVersion/>
</Properties>
</file>

<file path=docProps/core.xml><?xml version="1.0" encoding="utf-8"?>
<cp:coreProperties xmlns:cp="http://schemas.openxmlformats.org/package/2006/metadata/core-properties">
  <dc:creator xmlns:dc="http://purl.org/dc/elements/1.1/"/>
</cp:coreProperties>
</file>